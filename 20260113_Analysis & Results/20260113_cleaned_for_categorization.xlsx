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20260113_Analysis &amp; Results/"/>
    </mc:Choice>
  </mc:AlternateContent>
  <xr:revisionPtr revIDLastSave="77" documentId="11_B99231273C3964BEEC57BDCCB7DF0FB042DEA1B9" xr6:coauthVersionLast="47" xr6:coauthVersionMax="47" xr10:uidLastSave="{676ABBCA-E503-4475-95B7-FFB9416FCC5C}"/>
  <bookViews>
    <workbookView xWindow="-120" yWindow="-120" windowWidth="29040" windowHeight="15720" xr2:uid="{00000000-000D-0000-FFFF-FFFF00000000}"/>
  </bookViews>
  <sheets>
    <sheet name="Sheet 1" sheetId="1" r:id="rId1"/>
  </sheets>
  <definedNames>
    <definedName name="_xlnm._FilterDatabase" localSheetId="0" hidden="1">'Sheet 1'!$A$1:$BS$52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3" i="1" l="1"/>
  <c r="BO4" i="1"/>
  <c r="BO5" i="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2" i="1"/>
</calcChain>
</file>

<file path=xl/sharedStrings.xml><?xml version="1.0" encoding="utf-8"?>
<sst xmlns="http://schemas.openxmlformats.org/spreadsheetml/2006/main" count="2701" uniqueCount="1312">
  <si>
    <t>Title</t>
  </si>
  <si>
    <t>Authors</t>
  </si>
  <si>
    <t>Year</t>
  </si>
  <si>
    <t>Country</t>
  </si>
  <si>
    <t>City</t>
  </si>
  <si>
    <t>City_Clean</t>
  </si>
  <si>
    <t>Total_Study_Area</t>
  </si>
  <si>
    <t>Area_Unit</t>
  </si>
  <si>
    <t>Total_Study_Area_Approx_in_sqkm</t>
  </si>
  <si>
    <t>Spatial_Unit_Name</t>
  </si>
  <si>
    <t>Spatial_Unit_Name_Clean</t>
  </si>
  <si>
    <t>Unit_Size</t>
  </si>
  <si>
    <t>Unit_Size_Clean</t>
  </si>
  <si>
    <t>unit</t>
  </si>
  <si>
    <t>Unit_Size_SqKm</t>
  </si>
  <si>
    <t>Number_of_Units</t>
  </si>
  <si>
    <t>Average_Population_per_Unit</t>
  </si>
  <si>
    <t>Spatial_Aggregation</t>
  </si>
  <si>
    <t>Rationale_Spatial_Aggregation</t>
  </si>
  <si>
    <t>Unit_Selection_Rationale</t>
  </si>
  <si>
    <t>Rationale_Category</t>
  </si>
  <si>
    <t>Rationale_Category_Clean</t>
  </si>
  <si>
    <t>Smallest unit due to data availability (Yes/No)</t>
  </si>
  <si>
    <t>Spatial-unit data limitation (Yes/No)</t>
  </si>
  <si>
    <t>Limitation type</t>
  </si>
  <si>
    <t>Data_Limitations</t>
  </si>
  <si>
    <t>Computational constraints (Yes/No)</t>
  </si>
  <si>
    <t>Evidence type</t>
  </si>
  <si>
    <t>Computational_Constraints</t>
  </si>
  <si>
    <t>Alternative unit(s) named (verbatim terms)</t>
  </si>
  <si>
    <t>Alternative_Units</t>
  </si>
  <si>
    <t>Data_Collection_Period</t>
  </si>
  <si>
    <t>Crime data_period</t>
  </si>
  <si>
    <t>Data source → period</t>
  </si>
  <si>
    <t>Direct quote(s) + page</t>
  </si>
  <si>
    <t>Data_Sources</t>
  </si>
  <si>
    <t>Number_of_Data_Sources</t>
  </si>
  <si>
    <t>Crime_Type</t>
  </si>
  <si>
    <t>Crime_Type_Group</t>
  </si>
  <si>
    <t>Crime_Type_Clean</t>
  </si>
  <si>
    <t>Crime_Category</t>
  </si>
  <si>
    <t>Crime_Incidents</t>
  </si>
  <si>
    <t>Model_Type</t>
  </si>
  <si>
    <t>Independent_Variables</t>
  </si>
  <si>
    <t>Independent_Variables_Clean</t>
  </si>
  <si>
    <t>Number_of_Variables</t>
  </si>
  <si>
    <t>Demo_var</t>
  </si>
  <si>
    <t>Demo_count</t>
  </si>
  <si>
    <t>Env_var</t>
  </si>
  <si>
    <t>Env_count</t>
  </si>
  <si>
    <t>Econ_var</t>
  </si>
  <si>
    <t>Econ_count</t>
  </si>
  <si>
    <t>Dist_var</t>
  </si>
  <si>
    <t>Dist_count</t>
  </si>
  <si>
    <t>Temp_var</t>
  </si>
  <si>
    <t>Temp_count</t>
  </si>
  <si>
    <t>Other_var</t>
  </si>
  <si>
    <t>Other_count</t>
  </si>
  <si>
    <t>Distance variables</t>
  </si>
  <si>
    <t>Software_Used</t>
  </si>
  <si>
    <t>MAUP</t>
  </si>
  <si>
    <t>MAUP_Discussion</t>
  </si>
  <si>
    <t>Sesnitity</t>
  </si>
  <si>
    <t>Sensitivity_Analysis</t>
  </si>
  <si>
    <t>Future_Suggestions</t>
  </si>
  <si>
    <t>Verified_by_Kural</t>
  </si>
  <si>
    <t>Verified_by_Stephanie</t>
  </si>
  <si>
    <t>A Discrete Spatial Choice Model Of Burglary Target Selection At The House Level</t>
  </si>
  <si>
    <t>Christophe Vandeviver a, , Tijs Neutens b, Stijn van Daele a, Dirk Geurts c,
Tom Vander Beken</t>
  </si>
  <si>
    <t>Belgium</t>
  </si>
  <si>
    <t>East Flandres</t>
  </si>
  <si>
    <t>Multiple cities</t>
  </si>
  <si>
    <t>3000</t>
  </si>
  <si>
    <t>square kilometers</t>
  </si>
  <si>
    <t>Residential units</t>
  </si>
  <si>
    <t>Not specified (the unit size is a single house, but no specific measurement like area or dimension is provided)</t>
  </si>
  <si>
    <t>503589</t>
  </si>
  <si>
    <t>Not specified</t>
  </si>
  <si>
    <t>No</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</si>
  <si>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</si>
  <si>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Theory, previous research, and data availability</t>
  </si>
  <si>
    <t xml:space="preserve">Theory; Previous Research; Data Availability; </t>
  </si>
  <si>
    <t>None stated</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</si>
  <si>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</si>
  <si>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</si>
  <si>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Sampling due to computational infeasibility</t>
  </si>
  <si>
    <t>Estimating the conditional logit model was computationally infeasible due to the large number of decision-maker-by-alternative combinations (327,332,850).
- The model required access to all choice-specific characteristics, adding to the computational burden.
- A sampling strategy was used to reduce the number of alternatives, but even this was not sufficient for standard desktop computers.
- The dataset and buffer memory requirements exceeded typical desktop capabilities, necessitating the use of high-performance computing infrastructure.</t>
  </si>
  <si>
    <t>street, neighborhood and municipality</t>
  </si>
  <si>
    <t>Neighborhoods: Previous studies used neighborhoods as a spatial unit of analysis, but this was rejected due to methodological concerns such as the modifiable areal unit problem and aggregation bias.
- Postal code areas: Similar to neighborhoods, postal code areas were considered but rejected for the same methodological reasons.</t>
  </si>
  <si>
    <t>2013</t>
  </si>
  <si>
    <t>2006–2012</t>
  </si>
  <si>
    <t>Belgian Land Registry → 2013</t>
  </si>
  <si>
    <t>"Belgian Land Registry data reflects the situation on 1 January 2013" (p. 28)</t>
  </si>
  <si>
    <t>1. Belgian General Police Database 
2. Belgian Land Registry</t>
  </si>
  <si>
    <t>Residential Burglary</t>
  </si>
  <si>
    <t>Single crime type</t>
  </si>
  <si>
    <t>Burglary</t>
  </si>
  <si>
    <t>650</t>
  </si>
  <si>
    <t>Conditional Logit Model</t>
  </si>
  <si>
    <t>1. Construction type (Terraced / Semi-detached / Detached)2. Number of floors (Ground floor / 1 or more)3. Rooftop living floor (Yes / No)4. Garage present (Yes / No)5. Central heating/AC (Yes / No)6. Built surface area (1,000 m²)7. Distance to house</t>
  </si>
  <si>
    <t>1. Construction type (Terraced / Semi-detached / Detached); 2. Number of floors (Ground floor / 1 or more); 3. Rooftop living floor (Yes / No); 4. Garage present (Yes / No); 5. Central heating/AC (Yes / No); 6. Built surface area (1,000 m²)</t>
  </si>
  <si>
    <t>1. Distance to house</t>
  </si>
  <si>
    <t>R version 3.0.2, ICTCE 5.5.0</t>
  </si>
  <si>
    <t>yes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</si>
  <si>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</si>
  <si>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To ensure parameter stability and correct for bias introduced by the sampling-of-alternatives procedure, the authors performed 20 iterations of the model with different random samples</t>
  </si>
  <si>
    <t>Adopt a multi-level hierarchical spatial framework that simultaneously accounts for the house, street segment, neighborhood, and municipality levels using a nested logit model.</t>
  </si>
  <si>
    <t>A Sentimental Journey To Crime: Effects Of Residential History On Crime Location Choice</t>
  </si>
  <si>
    <t>Wim Bernasco</t>
  </si>
  <si>
    <t>The Netherlands</t>
  </si>
  <si>
    <t>The Hague</t>
  </si>
  <si>
    <t>~420.32</t>
  </si>
  <si>
    <t>Postal code areas</t>
  </si>
  <si>
    <t>2.96</t>
  </si>
  <si>
    <t>4000</t>
  </si>
  <si>
    <t>4900</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</si>
  <si>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</si>
  <si>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</si>
  <si>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No computational constraints mentioned.</t>
  </si>
  <si>
    <t>No alternative units discussed.</t>
  </si>
  <si>
    <t>2004-2005</t>
  </si>
  <si>
    <t>2004–2005</t>
  </si>
  <si>
    <t>Not reported.</t>
  </si>
  <si>
    <t>Police information system used by the Greater The Hague Police Force;
- Population registration data system (GBA);
- National database of demographic, social, and economic information on postal code areas in the Netherlands</t>
  </si>
  <si>
    <t>Residential Burglary; theft from vehicle; Robbery; assault</t>
  </si>
  <si>
    <t>Multiple crime types</t>
  </si>
  <si>
    <t>Residential Burglary; Theft From Vehicle; Robbery; Assault</t>
  </si>
  <si>
    <t>Multiple Crime Types</t>
  </si>
  <si>
    <t>7179</t>
  </si>
  <si>
    <t>1. Current area of residence (collapsed: long-term vs. short-term residence)2. Former area of residence (collapsed: combinations of duration and recency)3. Distance to current area of residence4. Distance to former area of residence5. Population size6. Percentage of single-person households7. Poverty level (Average value of residential property) 8. Level of urbanization (Address density)</t>
  </si>
  <si>
    <t>1. Population size; 2. Percentage of single-person households; 3. Level of urbanization (Address density)</t>
  </si>
  <si>
    <t>1. Poverty level (Average value of residential property)</t>
  </si>
  <si>
    <t>1. Distance to current area of residence; 2. Distance to former area of residence</t>
  </si>
  <si>
    <t>1. Current area of residence (collapsed: long-term vs. short-term residence); 2. Former area of residence (collapsed: combinations of duration and recency)</t>
  </si>
  <si>
    <t>Not mentioned (the paper does not specify the software used for data analysis)</t>
  </si>
  <si>
    <t>No MAUP discussion present.</t>
  </si>
  <si>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</si>
  <si>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Utilize space-time budget data to develop refined empirical estimates of changing activity spaces that include locations of schools, workplaces, friends’ homes, and favorite leisure spots.</t>
  </si>
  <si>
    <t>A Time For A Crime: Temporal Aspects Of Repeat Offenders' Crime Location Choices</t>
  </si>
  <si>
    <t>Sabine E M Van Sleeuwen, Stijn Ruiter, Barbara Menting</t>
  </si>
  <si>
    <t>142</t>
  </si>
  <si>
    <t>7000</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</si>
  <si>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</si>
  <si>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Smaller units unavailable</t>
  </si>
  <si>
    <t>The study uses four-digit postal code areas as spatial units due to their suitability for crime location choice research and minimal travel restrictions.
- The selection was influenced by data availability from the BRP and administrative boundaries around The Hague.
- The study area is limited to the greater The Hague area, which may introduce regional constraints.
- Detection bias may be present due to reliance on police data for arrested offenders.</t>
  </si>
  <si>
    <t>Processing time</t>
  </si>
  <si>
    <t>2003 to 2009</t>
  </si>
  <si>
    <t>2003–2009</t>
  </si>
  <si>
    <t>Census/LISA → 2006–2009</t>
  </si>
  <si>
    <t>"All contextual variables were constructed using year-specific information that relates to the year of the offense under study (2006 to 2009)." (p. 550)</t>
  </si>
  <si>
    <t>1. Dutch Suspect Identification System (HKS)2. Nationwide citizen information system (BRP)3. Statistics Netherlands (demographic and socioeconomic census-like statistics)4. LISA database (Landelijk Informatiesysteem Arbeidsplaatsen)</t>
  </si>
  <si>
    <t>Robbery; Burglary; theft; assault</t>
  </si>
  <si>
    <t>Robbery; Burglary; Theft; Assault</t>
  </si>
  <si>
    <t>12639</t>
  </si>
  <si>
    <t>Conditional Logit</t>
  </si>
  <si>
    <t>1. Prior offending history (collapsed conceptual variable representing the interaction of temporal similarity and crime type similarity);2. Offender's current or former residence status;3. Distance from current residential area;4. Proportion of non-Western residents;5. Proportion of single-person households;6. Population density;7. Number of employees;8. Retail business;9. Hotels, restaurants, and bars;10. Schools;11. Health-care facility;12. Cultural facility;13. Sports and leisure facility</t>
  </si>
  <si>
    <t>1. Prior offending history (collapsed conceptual variable representing the interaction of temporal similarity and crime type similarity); 2. Offender's current or former residence status; 3. Distance from current residential area; 4. Proportion of non-Western residents; 5. Proportion of single-person households; 6. Population density; 7. Number of employees; 8. Retail business; 9. Hotels, restaurants, and bars; 10. Schools; 11. Health-care facility; 12. Cultural facility; 13. Sports and leisure facility</t>
  </si>
  <si>
    <t>1. Proportion of non-Western residents; 2. Proportion of single-person households; 3. Population density</t>
  </si>
  <si>
    <t>1. Retail business; 2. Hotels, restaurants, and bars; 3. Schools; 4. Health-care facility; 5. Cultural facility; 6. Sports and leisure facility; 7. Number of employees</t>
  </si>
  <si>
    <t>1. Distance from current residential area</t>
  </si>
  <si>
    <t>1. Prior offending history (collapsed conceptual variable representing the interaction of temporal similarity and crime type similarity); 2. Offender's current or former residence status</t>
  </si>
  <si>
    <t>Stata/MP version 11</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</si>
  <si>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</si>
  <si>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Measure and include additional activity nodes beyond residential and crime locations, specifically identifying where and when offenders visit schools, work, and leisure locations.</t>
  </si>
  <si>
    <t>Adolescent Offenders' Current Whereabouts Predict Locations Of Their Future Crimes</t>
  </si>
  <si>
    <t>~182.32</t>
  </si>
  <si>
    <t>Grid cells</t>
  </si>
  <si>
    <t>200 x 200</t>
  </si>
  <si>
    <t>square meters</t>
  </si>
  <si>
    <t>4558</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</si>
  <si>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</si>
  <si>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Theory and data availability</t>
  </si>
  <si>
    <t>Theory; Data Availability</t>
  </si>
  <si>
    <t>Overrepresentation and underrepresentation of certain educational qualification groups due to school selection.
- High attrition rate due to difficulties in contacting students who left their original schools.
- Incomplete police data due to unreported crimes and unapprehended offenders.
- Limited availability of reliable crime data due to the discontinuation of the HKS system in 2013.
- Measurement period did not include summer months, potentially missing outdoor activities.</t>
  </si>
  <si>
    <t>High fieldwork costs limit sample size to less than 1,000 participants.
- Participants' memory limitations restrict data collection to a few days.--&gt; belongs to data limitations, not to comput. constraints
- Sparseness of data due to the ratio of crimes to grid cells affects model accuracy.</t>
  </si>
  <si>
    <t>2008–2009</t>
  </si>
  <si>
    <t>2008–2012</t>
  </si>
  <si>
    <t>LISA → 2008–2010</t>
  </si>
  <si>
    <t>"The points of interest in the period 2008–2010 were extracted from the LISA" (p. 311)</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</si>
  <si>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</si>
  <si>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t>theft; Burglary; assault; Robbery; drug dealing; public order offences</t>
  </si>
  <si>
    <t>Theft; Burglary; Assault; Robbery; Drug Dealing; Public Order Offenses</t>
  </si>
  <si>
    <t>165</t>
  </si>
  <si>
    <t>1. Time spent in location (collapsed from three binary indicators of duration in activity space);2. Proximity to activity space (collapsed from five binary indicators of spatial contiguity order);3. Prior crime location and proximity (collapsed from six binary indicators of repeat and near-repeat locations);4. Catering business presence;5. Retail business presence;6. School presence</t>
  </si>
  <si>
    <t>1. Time spent in location (collapsed from three binary indicators of duration in activity space); 2. Proximity to activity space (collapsed from five binary indicators of spatial contiguity order); 3. Prior crime location and proximity (collapsed from six binary indicators of repeat and near-repeat locations); 4. Catering business presence; 5. Retail business presence; 6. School presence</t>
  </si>
  <si>
    <t>1. Catering business presence; 2. Retail business presence; 3. School presence</t>
  </si>
  <si>
    <t>1. Proximity to activity space (collapsed from five binary indicators of spatial contiguity order)</t>
  </si>
  <si>
    <t>1. Time spent in location (collapsed from three binary indicators of duration in activity space); 2. Prior crime location and proximity (collapsed from six binary indicators of repeat and near-repeat locations)</t>
  </si>
  <si>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</si>
  <si>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</si>
  <si>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Extend the observation period for activity space tracking and include seasonal variations (e.g., summer months) to capture higher-mobility periods.</t>
  </si>
  <si>
    <t>Ambient Population And Surveillance Cameras: The Guardianship Role In Street Robbers' Crime Location Choice</t>
  </si>
  <si>
    <t>Dongping Long, Lin Liu, Mingen Xu, Jiaxin Feng, Jianguo Chen, Li He</t>
  </si>
  <si>
    <t>China</t>
  </si>
  <si>
    <t>ZG City</t>
  </si>
  <si>
    <t>ZG</t>
  </si>
  <si>
    <t>~3195.02</t>
  </si>
  <si>
    <t>Communities</t>
  </si>
  <si>
    <t>1.62</t>
  </si>
  <si>
    <t>1971</t>
  </si>
  <si>
    <t>~7,559</t>
  </si>
  <si>
    <t>The study aggregates an independent analytical variable (ambient population signaling data) originally available at a finer spatial scale (52,026 cell tower polygons) to a higher spatial unit (1,971 communities) for analysis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</si>
  <si>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</si>
  <si>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Limited to arrested offenders due to unavailability of addresses for non-arrested offenders.
- Use of a single randomly selected robber for robberies involving multiple offenders.
- Data derived from various sources, including census data, which might have its own limitations.</t>
  </si>
  <si>
    <t>2016</t>
  </si>
  <si>
    <t>2012–2016</t>
  </si>
  <si>
    <t>Mobile signaling → 2016; POI → 2014</t>
  </si>
  <si>
    <t>"signaling data... measured on an hourly basis during the period of 12–18 May 2016." (p. 388); "other control variables are constructed on the basis of point of interest (POI) in 2014" (p. 480)</t>
  </si>
  <si>
    <t>1. ZG Municipal Public Security Bureau: Provided the crime database, including arrest records, offender identifiers, and offense locations.2. Sixth Census of China: Administrative register used for demographic data (migrants, youngsters) and housing types to measure socioeconomic heterogeneity.3. Mobile phone signaling data: Obtained from a telecommunication operator to measure ambient population via cell tower communication.4. Points of Interest (POI) data: Mapping dataset used to identify surveillance cameras and various crime generators/attractors like malls, banks, and transport stations.</t>
  </si>
  <si>
    <t>Street Robbery</t>
  </si>
  <si>
    <t>Robbery</t>
  </si>
  <si>
    <t>4358</t>
  </si>
  <si>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</si>
  <si>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1. Malls and supermarkets; 2. Grocers; 3. Terminal markets; 4. Bars and clubs; 5. Cybercafés; 6. Sports stadiums; 7. High schools; 8. ATMs and banks; 9. Carparks; 10. Bus stops; 11. Transportation hubs; 12. Subway stations; 13. Density of road network; 14. Proportion of migrants; 15. Proportion of youngsters; 16. Socioeconomic heterogeneity; 17. Log distance; 18. Ambient population; 19. Surveillance cameras</t>
  </si>
  <si>
    <t>1. Proportion of migrants; 2. Proportion of youngsters; 3. Socioeconomic heterogeneity</t>
  </si>
  <si>
    <t>1. Malls and supermarkets; 2. Grocers; 3. Terminal markets; 4. Bars and clubs; 5. Cybercafés; 6. Sports stadiums; 7. High schools; 8. ATMs and banks; 9. Carparks; 10. Bus stops; 11. Transportation hubs; 12. Subway stations; 13. Density of road network; 14. Surveillance cameras; 15. Ambient population</t>
  </si>
  <si>
    <t>1. Log distance</t>
  </si>
  <si>
    <t>Stata 13.0</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</si>
  <si>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</si>
  <si>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</si>
  <si>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t>Utilize automatically collected geo-referenced measures of human presence at higher spatiotemporal resolutions, such as GPS tracking and mobile-phone-enabled applications.</t>
  </si>
  <si>
    <t>Assessing The Influence Of Prior On Subsequent Street Robbery Location Choices: A Case Study In Zg City, China</t>
  </si>
  <si>
    <t>Dongping Long, Lin Liu, Jiaxin Feng, Suhong Zhou, Fengrui Jing</t>
  </si>
  <si>
    <t>~3196.26</t>
  </si>
  <si>
    <t>1973</t>
  </si>
  <si>
    <t>~7,116</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</si>
  <si>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</si>
  <si>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</si>
  <si>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Difficulty in accessing official police data in China. -&gt; true, bot this is not the limitation within THIS study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</si>
  <si>
    <t>Not mentioned</t>
  </si>
  <si>
    <t>POI → 2014</t>
  </si>
  <si>
    <t>"other control variables are constructed on the basis of point of interest (POI) in 2014" (p. 480)</t>
  </si>
  <si>
    <t>1. ZG City Public Security Bureau: Provided the crime dataset on cleared street robberies, including information on offenders (gender, age, identity), offenses (time, date, coordinates), and arrest records.2. Navigation data company in China: Source of the Point of Interest (POI) data used for environmental control variables, including transportation hubs, transit stations, daily activity places (bars, clubs, cybercafés, malls), high schools, and surveillance camera locations.</t>
  </si>
  <si>
    <t>1262</t>
  </si>
  <si>
    <t>Mixed Logit Model</t>
  </si>
  <si>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</si>
  <si>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1. Time interval between two robberies; 2. Distance of journey to prior Robbery; 3. Not arrested in the act of prior Robbery; 4. Transportation hubs; 5. Subway stations; 6. Bus stops; 7. Bars and clubs; 8. Cybercafés; 9. Malls and supermarkets; 10. High schools; 11. Surveillance cameras; 12. Daily human mobility; 13. Socioeconomic heterogeneity; 14. Distance of journey to subsequent Robbery (Distance of JSR)</t>
  </si>
  <si>
    <t>1. Socioeconomic heterogeneity</t>
  </si>
  <si>
    <t>1. Transportation hubs; 2. Subway stations; 3. Bus stops; 4. Bars and clubs; 5. Cybercafés; 6. Malls and supermarkets; 7. High schools; 8. Surveillance cameras; 9. Daily human mobility</t>
  </si>
  <si>
    <t>1. Distance of journey to prior Robbery; 2. Distance of journey to subsequent Robbery (Distance of JSR)</t>
  </si>
  <si>
    <t>1. Time interval between two robberies</t>
  </si>
  <si>
    <t>1. Not arrested in the act of prior Robbery</t>
  </si>
  <si>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</si>
  <si>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</si>
  <si>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Not mentioned.</t>
  </si>
  <si>
    <t>Awareness X Opportunity: Testing Interactions Between Activity Nodes And Criminal Opportunity In Predicting Crime Location Choice</t>
  </si>
  <si>
    <t>Barbara Menting</t>
  </si>
  <si>
    <t>The Grater  Hague area (inlcudes The Hague Rijswijk; Leidschendam-Voorburg</t>
  </si>
  <si>
    <t>127.68</t>
  </si>
  <si>
    <t>1.68</t>
  </si>
  <si>
    <t>76</t>
  </si>
  <si>
    <t>7700</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</si>
  <si>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</si>
  <si>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Data only available at this unit</t>
  </si>
  <si>
    <t>The study used four-digit postal code areas as the spatial unit of analysis due to their familiarity to residents and visitors.
- The size of these postal codes is inversely related to urbanization, which might affect the analysis in urban versus rural areas.
- The study area was limited to three urban municipalities, which might not be representative of rural areas or other geographical contexts.
- The choice of postal codes was influenced by data availability, as only areas with available community survey data were included.
- The use of larger spatial units like postal codes was a deliberate choice to avoid computational and theoretical challenges associated with smaller units.</t>
  </si>
  <si>
    <t>Dataset size / combinations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</si>
  <si>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</si>
  <si>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</si>
  <si>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2006-2009</t>
  </si>
  <si>
    <t>2006–2009</t>
  </si>
  <si>
    <t>LISA/Survey/Census → 2006–2009</t>
  </si>
  <si>
    <t>"LISA... data on the locations and other characteristics of all businesses and facilities in the study area in 2006–2009" (p. 1177); "control variables... determined for each postal code for the years 2006–2009." (p. 1178)</t>
  </si>
  <si>
    <t>Police information system of The Hague Police Service;
- Population registration data from BRP (nationwide information system);
- Community survey from the Study of Peers, Activities and Neighborhoods (SPAN) project;
- LISA data (Landelijk Informatiesysteem Arbeidsplaatsen);
- Census-like statistics from Statistics Netherlands</t>
  </si>
  <si>
    <t>any-crime-type; violent offences (assaults, criminal threats, homicides, sex offences, robberies); property crimes (thefts, burglaries, selling of stolen goods, forgery)</t>
  </si>
  <si>
    <t>13088</t>
  </si>
  <si>
    <t>1. Residential area offender (Current)2. Residential area family3. Number of bars/restaurants/hotels4. Collective efficacy5. Former residential area offender6. Former crime location7. Distance from residence of offender8. Neighbourhood disorder9. Population density10. Proportion non-western residents11. Proportion single-person households12. Number of employees13. Retail businesses14. Schools15. Health-care facilities16. Cultural facilities17. Sport and leisure facilities</t>
  </si>
  <si>
    <t>1. Collective efficacy; 2. Population density; 3. Proportion non-western residents; 4. Proportion single-person households</t>
  </si>
  <si>
    <t>1. Number of bars/restaurants/hotels; 2. Neighbourhood disorder; 3. Retail businesses; 4. Schools; 5. Health-care facilities; 6. Cultural facilities; 7. Sport and leisure facilities; 8. Number of employees</t>
  </si>
  <si>
    <t>1. Distance from residence of offender</t>
  </si>
  <si>
    <t>1. Residential area offender (Current); 2. Residential area family; 3. Former residential area offender; 4. Former crime location</t>
  </si>
  <si>
    <t>No sensitivity analysis performed.</t>
  </si>
  <si>
    <t>Shift to smaller spatial units of analysis than four-digit postal codes and expand the geographic scope to include larger and more diverse areas, specifically rural regions.</t>
  </si>
  <si>
    <t>Biting Once, Twice: The Influence Of Prior On Subsequent Crime Location Choice</t>
  </si>
  <si>
    <t>Marre Lammers, Barbara Menting, Stijn Ruiter, Wim Bernasco</t>
  </si>
  <si>
    <t>420.32</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</si>
  <si>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</si>
  <si>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</si>
  <si>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Theory and previous research</t>
  </si>
  <si>
    <t>Theory; Previous Research</t>
  </si>
  <si>
    <t>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t>
  </si>
  <si>
    <t>No computational constraints mentioned. The paper discusses the choice of spatial unit in terms of urbanization and geographic coverage but does not explicitly mention computational limitations or constraints.</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</si>
  <si>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</si>
  <si>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"census-like statistics... for the years 2006–2009." (p. 317); "LISA database... was used to obtain crime year-specific information... in the years 2006–2009." (p. 317)</t>
  </si>
  <si>
    <t>Police information system; LISA database; Statistics Netherlands; BRP system</t>
  </si>
  <si>
    <t>violence; property; vandalism; traffic; environmental; drugs; weapons; other</t>
  </si>
  <si>
    <t>Violence; Property; Vandalism; Traffic; Environmental; Drugs; Weapons; Other</t>
  </si>
  <si>
    <t>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</si>
  <si>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1. Population density; 2. Proportion of single-person households; 3. Proportion of non-Western residents</t>
  </si>
  <si>
    <t>1. Number of employees; 2. Retail businesses; 3. Hotels, restaurants, and bars; 4. Schools; 5. Health-care facilities; 6. Cultural facilities; 7. Sport and leisure facilities</t>
  </si>
  <si>
    <t>1. Distance to prior offense (3 years); 2. Distance to current residence (km)</t>
  </si>
  <si>
    <t>1. Recency and type of prior offense (combined interaction of time intervals and same/different crime type); 2. Number of prior offenses (Frequency); 3. Current residence duration; 4. Former residence history (combined duration and recency of move)</t>
  </si>
  <si>
    <t>Implement smaller units of analysis (e.g., six-digit postal codes) and expand research to larger geographical areas including rural regions.</t>
  </si>
  <si>
    <t>Burglar Target Selection: A Crossnational Comparison (Nl)</t>
  </si>
  <si>
    <t>Michael Townsley, Daniel Birks, Wim Bernasco, Stijn Ruiter, Shane D Johnson,  Gentry White, Scott Baum</t>
  </si>
  <si>
    <t>~58</t>
  </si>
  <si>
    <t xml:space="preserve">Neighborhoods
</t>
  </si>
  <si>
    <t>Neighborhoods</t>
  </si>
  <si>
    <t>0.65</t>
  </si>
  <si>
    <t>89</t>
  </si>
  <si>
    <t>2380</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</si>
  <si>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</si>
  <si>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Method and Previous research</t>
  </si>
  <si>
    <t>Previous Research; Method</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</si>
  <si>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</si>
  <si>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1996-2001</t>
  </si>
  <si>
    <t>1996–2001</t>
  </si>
  <si>
    <t>Census AU → 2006; Census UK → 2001; Land Registry UK → 2009</t>
  </si>
  <si>
    <t>"Australian Bureau of Statistics 2006 Census" (p. 12); "2001 Australian Census" (p. 147); "2001 UK census" (p. 13); "mean House Price sale as recorded by the U.K. Land Registry... in 2009" (p. 12, 14)</t>
  </si>
  <si>
    <t>1. Recorded crime data from the police service in The Hague.2. Census, neighborhood, and tax assessment data (for residential real estate value) from the Municipal Agency for Urban Development.</t>
  </si>
  <si>
    <t>548</t>
  </si>
  <si>
    <t>1. Residential real estate value (Affluence)2. Residential mobility (Community stability)3. Proportion of single-family dwellings (Target accessibility)4. Proximity to offender's residence5. Proximity to city center6. Number of households (Target availability)</t>
  </si>
  <si>
    <t>1. Proportion of single-family dwellings (Target accessibility); 2. Number of households (Target availability)</t>
  </si>
  <si>
    <t>1. Residential mobility (Community stability)</t>
  </si>
  <si>
    <t>1. Residential real estate value (Affluence)</t>
  </si>
  <si>
    <t>1. Proximity to offender's residence; 2. Proximity to city center</t>
  </si>
  <si>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</si>
  <si>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</si>
  <si>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Expand the behavioral rule to include nuanced street-level factors like permeability and connectedness across more study regions.</t>
  </si>
  <si>
    <t>Burglar Target Selection: A Crossnational Comparison (Uk)</t>
  </si>
  <si>
    <t>United Kingdom</t>
  </si>
  <si>
    <t>Birmingham</t>
  </si>
  <si>
    <t>~267</t>
  </si>
  <si>
    <t>Super Output Areas</t>
  </si>
  <si>
    <t>2.04</t>
  </si>
  <si>
    <t>131</t>
  </si>
  <si>
    <t>3086</t>
  </si>
  <si>
    <t>2009</t>
  </si>
  <si>
    <t>1. Recorded crime data from the police service in Birmingham.2. Census and neighborhood data from the Office of National Statistics (ONS).3. Real estate sales records from the U.K. Land Registry.</t>
  </si>
  <si>
    <t>398</t>
  </si>
  <si>
    <t>Burglar Target Selection: A Crossnational Comparison (Au)</t>
  </si>
  <si>
    <t>Australia</t>
  </si>
  <si>
    <t>Brisbane</t>
  </si>
  <si>
    <t>~1,340</t>
  </si>
  <si>
    <t>Statistical Local Areas</t>
  </si>
  <si>
    <t>8.48</t>
  </si>
  <si>
    <t>158</t>
  </si>
  <si>
    <t>2537</t>
  </si>
  <si>
    <t>2006</t>
  </si>
  <si>
    <t>1. Recorded crime data from the Queensland Police Service.2. Census and housing repayment data from the Australian Bureau of Statistics.</t>
  </si>
  <si>
    <t>889</t>
  </si>
  <si>
    <t>Burglars Blocked By Barriers? The Impact Of Physical And Social Barriers On Residential Burglars' Target Location Choices In China</t>
  </si>
  <si>
    <t>Luzi Xiao, Stijn Ruiter, Lin Liu, Guangwen Song, Suhong Zhou</t>
  </si>
  <si>
    <t>ZG city</t>
  </si>
  <si>
    <t>~7241.82</t>
  </si>
  <si>
    <t>2.74</t>
  </si>
  <si>
    <t>2643</t>
  </si>
  <si>
    <t>~5,298</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</si>
  <si>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</si>
  <si>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Previous research and data availability</t>
  </si>
  <si>
    <t>Previous Research; Data Availability</t>
  </si>
  <si>
    <t>Limited to arrested offenders only, excluding non-arrested burglars.
- Exclusion of cases with unknown Hukou status.
- Exclusion of burglaries committed by offenders living outside of ZG city or where geocoding was not possible.
- Temporal mismatch between census data (2010) and burglary data (2012-2016).
- Lack of direct measures of wealth, using proxy measures instead.</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</si>
  <si>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</si>
  <si>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2012 to 2016</t>
  </si>
  <si>
    <t>Census → 2010</t>
  </si>
  <si>
    <t>"census data from 2010 were used to construct the social barrier and control variables" (p. 814)</t>
  </si>
  <si>
    <t>1. Municipal Public Security Bureau of ZG city: Source of the residential burglary dataset (January 2012 to June 2016), which includes geocoded incident locations, offender identifiers, home addresses, and Hukou status.2. 2010 Census data: Administrative register providing community-level demographic and housing statistics, including the proportion of local/nonlocal residents, rent prices, and building construction years.3. RITU (electronic map navigation company): Commercial dataset providing the spatial configuration of the road network (expressways, freeways, and arterial roads) and river structures used to identify physical barriers.</t>
  </si>
  <si>
    <t>3860</t>
  </si>
  <si>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</si>
  <si>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</si>
  <si>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Social barriers (Offender Hukou status and community majority Hukou status combinations); 2. Number of households (logged)</t>
  </si>
  <si>
    <t>1. Rivers; 2. Major roads with access control; 3. Major roads without access control; 4. Proportion of houses built after 2000; 5. Proportion of high-rise building</t>
  </si>
  <si>
    <t>1. Average rent price</t>
  </si>
  <si>
    <t>1. Distance from home</t>
  </si>
  <si>
    <t>Stata/MP version 15</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</si>
  <si>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</si>
  <si>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t>The authors explicitly report conducting a robustness check by re-estimating their social barrier measures using alternative thresholds (70% and 80% instead of the primary 75% threshold). This satisfies the criteria for re-estimation using alternative parameter values to verify that the results are stable under alternative specifications.</t>
  </si>
  <si>
    <t>Future research should incorporate the topology of the street network and the public transportation system into the analysis of spatial barriers.</t>
  </si>
  <si>
    <t>Co-Offenders' Crime Location Choice: Do Co-Offending Groups Commit Crimes In Their Shared Awareness Space?</t>
  </si>
  <si>
    <t>Marre Lammers</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</si>
  <si>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</si>
  <si>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Theory, Previous research, and Method</t>
  </si>
  <si>
    <t xml:space="preserve">Theory; Previous Research; Method; </t>
  </si>
  <si>
    <t>Data not specifically sampled for co-offending, leading to a reduced sample size.
- Use of police arrest data may over-represent co-offending groups.
- Potential incompleteness of data if some offenders in a group were not arrested.
- Geographical limitation to the greater The Hague region.
- Limited measurement of awareness space to home and crime locations.
- Use of a four-digit postal code area as a potentially large spatial unit.
- Issues with spatial interdependence if smaller units are used.
- Modifiable areal unit problem affecting spatial unit choice.
- Alternative definitions and measurements of shared awareness space could affect results.</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</si>
  <si>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</si>
  <si>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Alternative units discussed: six-digit postal code area, which contains on average 18 residential units and 40 residents. This unit was not used due to increased spatial interdependence between observations requiring more complex models.</t>
  </si>
  <si>
    <t>Statistics Netherlands/LISA → 2006–2009</t>
  </si>
  <si>
    <t>"information was obtained... for the years 2006–2009." (p. 1199); "business... specific information... in the years 2006–2009." (p. 1199)</t>
  </si>
  <si>
    <t>1. Police information system used by the greater The Hague Police Service
2. Nationwide population registration data (BRP) 
3. Statistics Netherlands socio-demographic and socio-economic records
4. Ministry of the Interior and Kingdom Relations data for surface area and shapefiles,
5. LISA database regarding businesses and facilities</t>
  </si>
  <si>
    <t>Burglary; theft; public disorder crimes; assault</t>
  </si>
  <si>
    <t>Burglary; Theft; Public Disorder Crimes; Assault</t>
  </si>
  <si>
    <t>2926</t>
  </si>
  <si>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</si>
  <si>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t>1. Density of residents; 2. Number of one-person households; 3. Percentage of non-Western residents</t>
  </si>
  <si>
    <t>1. Number of employees; 2. Retail businesses; 3. Hotel, restaurants and bars; 4. Schools; 5. Healthcare facilities; 6. Cultural facilities; 7. Sport facilities</t>
  </si>
  <si>
    <t>1. Current home location; 2. Previous home location; 3. Previous crime location</t>
  </si>
  <si>
    <t>Not mentioned (the paper does not specify the software or programming tools used for data analysis)</t>
  </si>
  <si>
    <t>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Modifiable Areal Unit Problem.</t>
  </si>
  <si>
    <t>The author conducted robustness checks by re-estimating the final model using alternative samples—specifically separating burglary and theft crimes—to confirm that the primary findings regarding shared awareness space remained stable. This conclusion is reached because: 1. The author first established a baseline using a combined model for all crime types. 2. To ensure findings were not an artifact of aggregate data, the author identified sub-samples large enough for independent verification. 3. The author performed re-estimations for these specific crime types. 4. A comparison confirmed that while effect sizes varied slightly, the direction of effects and level of significance remained consistent, proving the results were robust across different criminal contexts.</t>
  </si>
  <si>
    <t>Future research should transition to smaller spatial units (such as six-digit postal codes) for higher precision, utilize statistical models that account for spatial interdependence to mitigate the Modifiable Areal Unit Problem (MAUP), and expand the geographic scale of the study area to improve generalization.</t>
  </si>
  <si>
    <t>Co-Offending And The Choice Of Target Areas In Burglary</t>
  </si>
  <si>
    <t>~57.85</t>
  </si>
  <si>
    <t>Neighbourhoods</t>
  </si>
  <si>
    <t>4952</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</si>
  <si>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</si>
  <si>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Theory and Data availability</t>
  </si>
  <si>
    <t>Low detection rate of residential burglaries (7%) which could bias results if related to location choice criteria.
- Focus only on target area selection, not on why or how offender groups form.
- Data limited to detected burglaries by The Hague residents, excluding those committed outside city boundaries.
- Potential incompleteness of police data on number of offenders involved in each burglary.</t>
  </si>
  <si>
    <t>The authors used approximations based on neighbourhood centroids to calculate distances due to computational feasibility concerns, ensuring consistency in measuring distances to all potential target neighbourhoods.</t>
  </si>
  <si>
    <t>1996-2004</t>
  </si>
  <si>
    <t>1996–2004</t>
  </si>
  <si>
    <t>Swing The Hague → 1996–2004</t>
  </si>
  <si>
    <t>"All neighbourhood variables are available for each year in the study period 1996–2004." (p. 148)</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</si>
  <si>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</si>
  <si>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1174</t>
  </si>
  <si>
    <t>1. Affluence 2. Physical accessibility 3. Social disorganisation 4. Proximity home neighbourhood 5. Own neighbourhood 6. Proximity city center 7. Number of properties</t>
  </si>
  <si>
    <t>1. Social disorganisation; 2. Number of properties</t>
  </si>
  <si>
    <t>1. Physical accessibility; 2. Own neighbourhood</t>
  </si>
  <si>
    <t>1. Affluence</t>
  </si>
  <si>
    <t>1. Proximity home neighbourhood; 2. Proximity city center</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</si>
  <si>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</si>
  <si>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Crime Feeds On Legal Activities: Daily Mobility Flows Help To Explain Thieves' Target Location Choices</t>
  </si>
  <si>
    <t>Guangwen Song, Wim Bernasco, Lin Liu, Luzi Xiao, Suhong Zhou, Weiwei Liao</t>
  </si>
  <si>
    <t>~ 3000</t>
  </si>
  <si>
    <t>Census units</t>
  </si>
  <si>
    <t>1616</t>
  </si>
  <si>
    <t>5956</t>
  </si>
  <si>
    <t>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data availability constraints and standard preprocessing rather than spatial aggregation. The aggregation decision relevant here concerns the construction of mobility flows from individual trajectories, which constitutes true spatial aggregation.</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</si>
  <si>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</si>
  <si>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choice of census units was influenced by their size and homogeneity, similar to comparable studies.
- The use of census units avoided estimating spillover effects, a practical advantage but also a limitation.
- Significant variation in census unit size and population could affect analysis.
- 275 census units were excluded due to limited mobile phone network coverage.
- Privacy concerns led to the use of aggregated data, potentially limiting detail and precision.</t>
  </si>
  <si>
    <t>Alternative units considered but not used include census blocks and street blocks. These were rejected because using them would require estimating spillover effects, which added complexity to the analysis.</t>
  </si>
  <si>
    <t>June 1st, 2014 - May 30th, 2016 (excluding February 2015 and 2016); Mobile phone data collected on December 28, 2016</t>
  </si>
  <si>
    <t>2014–2016</t>
  </si>
  <si>
    <t>Mobile phone → 2016; POI → 2014</t>
  </si>
  <si>
    <t>"routes taken by the mobile phones... on Wednesday, December 28, 2016" (p. 843); "POIs in ZG city were collected in 2014." (p. 841)</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</si>
  <si>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</si>
  <si>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theft from the person (TFP)</t>
  </si>
  <si>
    <t>Theft From The Person</t>
  </si>
  <si>
    <t>Theft</t>
  </si>
  <si>
    <t>3436</t>
  </si>
  <si>
    <t>1. Primary schools2. Middle schools3. Hospitals4. Basic stores5. Markets6. Supermarkets7. Restaurants8. Cinemas9. Bars10. Banks11. Subway stations12. Bus stops13. Nonlocal proportion14. Distance (ln(km))15. Relative Mobility flow (ln)</t>
  </si>
  <si>
    <t>1. Nonlocal proportion</t>
  </si>
  <si>
    <t>1. Primary schools; 2. Middle schools; 3. Hospitals; 4. Basic stores; 5. Markets; 6. Supermarkets; 7. Restaurants; 8. Cinemas; 9. Bars; 10. Banks; 11. Subway stations; 12. Bus stops; 13. Relative Mobility flow (ln)</t>
  </si>
  <si>
    <t>1. Distance (ln(km))</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</si>
  <si>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</si>
  <si>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t>The authors performed a robustness check by re-estimating the model using an alternative sample (including a random member from co-offending groups rather than just solitary offenders) and also tested an alternative specification for their primary mobility variable (absolute vs. relative flow), reporting that results remained stable.</t>
  </si>
  <si>
    <t>Discrete Choice Analysis Of Spatial Attack Sites</t>
  </si>
  <si>
    <t>Michael A Smith, Ae D E Brown, Donald E Brown</t>
  </si>
  <si>
    <t>United States</t>
  </si>
  <si>
    <t>Richmond</t>
  </si>
  <si>
    <t>~156.64</t>
  </si>
  <si>
    <t>170  x 191</t>
  </si>
  <si>
    <t>meters</t>
  </si>
  <si>
    <t>4895</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</si>
  <si>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</si>
  <si>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</si>
  <si>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Method</t>
  </si>
  <si>
    <t>Privacy / aggregation requirement</t>
  </si>
  <si>
    <t>Focus on breaking and entering crimes in Richmond, VA, limiting generalizability to other crimes or locations.
- Data restricted to residential crimes in the third quarter of 1997, limiting temporal and spatial scope.
- Administrative boundary constraints due to grid circumscribing city limits.
- Grid resolution determined by inter-centroid spacing, affecting spatial analysis precision.
- Aggregation requirements due to demographic data at census block group level, with potential multicollinearity issues.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</si>
  <si>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</si>
  <si>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No alternative units discussed. The paper mentions considering different grid resolutions based on the nature of features used but does not specify other alternative units or scales that were considered but not used.</t>
  </si>
  <si>
    <t>1997</t>
  </si>
  <si>
    <t>1. Richmond City Records Management Center breaking and entering crime records2. Publicly available GIS layers (geographic features and proximity measurements)3. Census information and demographic profile variables (census block group level)</t>
  </si>
  <si>
    <t>637</t>
  </si>
  <si>
    <t>Multinomial Logit with Spatial Hierarchy Model</t>
  </si>
  <si>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</si>
  <si>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</si>
  <si>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1. Population density (u66); 2. Demographic variable u38; 3. Demographic variable u46; 4. Demographic variable u52; 5. Demographic variable u53; 6. Demographic variable u58; 7. Demographic variable u62</t>
  </si>
  <si>
    <t>1. Spatial hierarchy term (log(k̂))</t>
  </si>
  <si>
    <t>1. Distance to nearest federal highway (u30); 2. Proximity variable u13; 3. Proximity variable u18; 4. Proximity variable u19</t>
  </si>
  <si>
    <t>R software package (Team 2004)</t>
  </si>
  <si>
    <t>No MAUP discussion present (the paper implies consideration for scale effects but does not explicitly discuss MAUP or ecological fallacy)</t>
  </si>
  <si>
    <t>The authors conduct sensitivity and alternative-specification analyses by testing model performance across a range of 23 different predictor counts (parameter $k$) using cross-validation to identify the most stable and parsimonious specification. They further validate their findings by comparing the standard multinomial logit model against an alternative spatial hierarchy specification and a traditional hot spot (KDE) model, using paired t-tests to verify that the performance differences between these specifications are statistically significant and robust.</t>
  </si>
  <si>
    <t>Divergent Decision-Making In Context: Neighborhood Context Shapes Effects Of Physical Disorder And Spatial Knowledge On Burglars' Location Choice</t>
  </si>
  <si>
    <t>Liang Cai, Guangwen Song, Yanji Zhang</t>
  </si>
  <si>
    <t>~1582.616</t>
  </si>
  <si>
    <t>0.95799999999999996</t>
  </si>
  <si>
    <t>1652</t>
  </si>
  <si>
    <t>5957</t>
  </si>
  <si>
    <t>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</si>
  <si>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</si>
  <si>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Geographical scope limited to the central urban area due to availability of street view images.
- Administrative boundary constraints: use of communities as the smallest administrative unit for census and survey data.
- Data availability issue: exclusion of communities without street view images.
- Potential limitations in considering other neighborhood structural conditions like social cohesion and ecological networks.</t>
  </si>
  <si>
    <t>Software / hardware limitation</t>
  </si>
  <si>
    <t>Crime data: 2017-2018
- Mobility flow data: October 2019
- Point of interest data: 2016
- Socio-demographic data: 2010</t>
  </si>
  <si>
    <t>2017–2018</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</si>
  <si>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</si>
  <si>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</si>
  <si>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</si>
  <si>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t>1972</t>
  </si>
  <si>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</si>
  <si>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1. Population size (log)</t>
  </si>
  <si>
    <t>1. Target neighborhood concentrated disadvantage status; 2. Spatial knowledge (Mobility flow); 3. Physical disorder (Observed or Perceived measures); 4. Proportion of buildings built post-2000; 5. Proportion of high-rise buildings (9+ floors); 6. Number of subway stations; 7. Number of bus stops; 8. Number of parks; 9. Number of entertainment venues</t>
  </si>
  <si>
    <t>1. Euclidean distance (log)</t>
  </si>
  <si>
    <t>1. Interaction: Target disadvantage × Spatial knowledge; 2. Interaction: Target disadvantage × Physical disorder; 3. Interaction: Spatial knowledge × Physical disorder; 4. Interaction: Target disadvantage × Spatial knowledge × Physical disorder</t>
  </si>
  <si>
    <t>Not mentioned (the paper does not specify the software or tools used for data analysis)</t>
  </si>
  <si>
    <t>The authors explicitly discuss the ecological fallacy in relation to using aggregate mobility flows as a proxy for individual spatial knowledge. Additionally, they substantively address the modifiable areal unit problem (referred to as the "modifiable geographic unit area problem") by justifying their choice of community-level aggregation for physical disorder data.</t>
  </si>
  <si>
    <t>The authors conduct alternative-specification analysis by estimating models using two distinct operationalizations of their key independent variable: "observed physical disorder" and "perceived disorder," noting that the results are "highly similar". They also perform a robustness check by providing an appendix with models that exclude the three-way interaction terms to demonstrate the stability of their primary analysis. Finally, they conduct an explicit test (variance decomposition) to evaluate whether their results are stable across different spatial scales/units, specifically to address and limit the risk of the modifiable areal unit problem (MAUP).</t>
  </si>
  <si>
    <t>Do Juvenile, Young Adult, And Adult Offenders Target Different Places In The Chinese Context?</t>
  </si>
  <si>
    <t>Dongping Long, Lin Liu</t>
  </si>
  <si>
    <t>~3193.03</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</si>
  <si>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</si>
  <si>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Confidentiality requirements: The data used in the study is confidential, which may limit the availability or detail of the data.
- Administrative boundary constraints: The study is confined to ZG City, which could limit the spatial units to those within this administrative boundary.
- Data aggregation requirements: The use of neighborhood units as spatial units might be due to data aggregation requirements or the way data is collected and processed.</t>
  </si>
  <si>
    <t>2012-2016</t>
  </si>
  <si>
    <t>Census → 2010; POI → 2014</t>
  </si>
  <si>
    <t>"generated from the census data of ZG City" (p. 1158); "used the ZG City's POI data for constructing routine activity nodes variables" (p. 1156, 1213)</t>
  </si>
  <si>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</si>
  <si>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</si>
  <si>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1. Migrants proportion; 2. Young adults proportion</t>
  </si>
  <si>
    <t>1. Bars and clubs; 2. Cybercafés; 3. Schools; 4. Transportation hubs; 5. Wholesale markets; 6. Malls and supermarkets; 7. Bus stops; 8. Subway stations; 9. Car parks</t>
  </si>
  <si>
    <t>no</t>
  </si>
  <si>
    <t>NO</t>
  </si>
  <si>
    <t>Do Migrant And Native Robbers Target Different Places?</t>
  </si>
  <si>
    <t>Liu</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</si>
  <si>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</si>
  <si>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Data availability and administrative convenience</t>
  </si>
  <si>
    <t>Data Availability; Administrative Convenience</t>
  </si>
  <si>
    <t>Data availability issues: Exclusion of records due to residence outside the study area or unknown residence.
- Confidentiality requirements: Use of 'pinyin' codes instead of actual place names; limited agreement and restrictions on disclosing crime and mobile phone data sources and details.</t>
  </si>
  <si>
    <t>Arrest data: 2012 to 2016
- POI data: 2014
- Traffic road network vector map data: 2014
- Bus stop data: 2015
- Mobile phone data: May 12-18, 2016
- Census data: 2010</t>
  </si>
  <si>
    <t>POI → 2014; Mobile phone → 2016; Census → 2010</t>
  </si>
  <si>
    <t>"2014 POI data... 12 to 18 May 2016 ZG City’s mobile phone data and the sixth census data of ZG city in 2010" (p. 1213)</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</si>
  <si>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</si>
  <si>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1416</t>
  </si>
  <si>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</si>
  <si>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Malls and supermarkets; 2. Grocers; 3. Wholesale markets; 4. Bars and clubs; 5. Sports stadiums; 6. High schools; 7. ATMs and banks; 8. Carparks; 9. Bus stops; 10. Transportation hubs; 11. Subway stations; 12. Density of road network; 13. Daily human mobility</t>
  </si>
  <si>
    <t>1. Detection rate</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</si>
  <si>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</si>
  <si>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Do Street Robbery Location Choices Vary Over Time Of Day Or Day Of Week? A Test In Chicago</t>
  </si>
  <si>
    <t>Wim Bernasco, Stijn Ruiter, Richard Block</t>
  </si>
  <si>
    <t>Chicago</t>
  </si>
  <si>
    <t>Census blocks</t>
  </si>
  <si>
    <t>19680</t>
  </si>
  <si>
    <t>24594</t>
  </si>
  <si>
    <t>117.75</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</si>
  <si>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</si>
  <si>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</si>
  <si>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Data availability and previous research</t>
  </si>
  <si>
    <t>Limited to cleared robberies due to availability of offender addresses.
- Exclusion of robberies committed by non-residents of Chicago.
- Exclusion of robberies on expressways and college campuses due to different law enforcement jurisdictions.
- Lack of information on business opening and closing hours.
- Use of time as a proxy for physical presence and business hours.</t>
  </si>
  <si>
    <t>Memory limitation</t>
  </si>
  <si>
    <t>Memory constraints: Sample sizes were chosen to maximize computer memory resources.
- Processing time constraints: Two-hour blocks were chosen over one-hour blocks for efficiency in presenting results and statistical power.
- Computational feasibility concerns: Including lagged effects would have doubled the number of model estimates, which was deemed computationally unfeasible.
- Software limitations: The need to balance computational resources with the complexity of the analysis led to prioritizing temporal over spatial complexity.</t>
  </si>
  <si>
    <t>block groups, or blocks</t>
  </si>
  <si>
    <t>1996 to 1998</t>
  </si>
  <si>
    <t>1996–1998</t>
  </si>
  <si>
    <t>Marketing info → 1996–1998; Census → 2000</t>
  </si>
  <si>
    <t>"Claritas on businesses... during the same period the crime data were recorded" (p. 254); "U.S. 2000 Census." (p. 256)</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</si>
  <si>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</si>
  <si>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12938</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</si>
  <si>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</si>
  <si>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t>1. Total population; 2. Ethnic majority (Offender-block racial/ethnic concordance)</t>
  </si>
  <si>
    <t>1. Bars and clubs; 2. Restaurants, food stands, etc.; 3. Barbers and beauty salons; 4. Liquor stores; 5. Grocery stores; 6. General merchandise stores; 7. Gas stations; 8. Laundromats; 9. Currency exchange and pawnshops; 10. Drug-related incidents; 11. Prostitution-related incidents; 12. Gambling-related incidents; 13. Main streets; 14. El stations; 15. High schools</t>
  </si>
  <si>
    <t>1. Proximity (Negative log distance)</t>
  </si>
  <si>
    <t>The authors explicitly mention the modifiable areal unit problem (MAUP) by name in the footnotes of the paper. While they use it to draw a parallel to the choice of temporal bandwidths, they acknowledge it as a significant geographic problem and explicitly defer its exploration to future research due to space constraints.</t>
  </si>
  <si>
    <t>The authors performed a robustness check by employing a bootstrapping technique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</si>
  <si>
    <t>Effects Of Attractiveness, Opportunity And Accessibility To Burglars On Residential Burglary Rates Of Urban Neighborhoods</t>
  </si>
  <si>
    <t>Wim Bernasco, Floor Luykx</t>
  </si>
  <si>
    <t>4950 residents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</si>
  <si>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</si>
  <si>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Data availability issues: Limited data on burglars living outside The Hague.
- Administrative boundary constraints: Analysis is spatially truncated at The Hague city boundaries.
- Aggregation requirements: Data aggregated at the neighborhood level.
- Statistical disclosure controls: Use of police records for offender data.</t>
  </si>
  <si>
    <t>Mobility → 1996–1999; Real estate → 1993, 1996–1999</t>
  </si>
  <si>
    <t>"calculated for each of the years 1996-1999 separately" (p. 989); "estimated value... for the years 1996–1998 and for 2000–2001" (p. 989)</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</si>
  <si>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</si>
  <si>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26000</t>
  </si>
  <si>
    <t>regression models</t>
  </si>
  <si>
    <t>1. SWEBER (Spatially weighted burglar exposition rate)2. Proximity to Central Business District (CBD)3. Residential mobility4. Ethnic heterogeneity5. Average value of residential units6. Home ownership</t>
  </si>
  <si>
    <t>1. Ethnic heterogeneity; 2. Home ownership</t>
  </si>
  <si>
    <t>1. SWEBER (Spatially weighted burglar exposition rate); 2. Residential mobility</t>
  </si>
  <si>
    <t>1. Average value of residential units</t>
  </si>
  <si>
    <t>1. Proximity to Central Business District (CBD)</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</si>
  <si>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</si>
  <si>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The authors conducted extensive sensitivity and alternative-specification analyses to ensure their findings were robust. They explicitly re-estimated their models using alternative definitions for the burglar population ($M_i$), tested the stability of their results against different functional forms for distance decay (parameter values), utilized alternative spatial weight matrices (rooks vs. queens criterion) for spatial autocorrelation tests, and confirmed that alternative measures of independent variables like ethnic heterogeneity produced consistent results. In all cases, the authors reported that the results were stable and remained virtually unchanged under these alternative specifications.</t>
  </si>
  <si>
    <t>Expand geographic scale and refine spatial measurement. The authors suggest expanding the study's scale beyond administrative city boundaries to include adjacent municipalities and adapting the spatial accessibility measure (SWEBER) to incorporate non-Euclidean pathways, physical barriers, and alternative spatial anchor points (e.g., activity nodes).</t>
  </si>
  <si>
    <t>Effects Of Residential History On Commercial Robbers' Crime Location Choices</t>
  </si>
  <si>
    <t>Wim Bernasco, Thessa Kooistra</t>
  </si>
  <si>
    <t>Nationwide</t>
  </si>
  <si>
    <t>Not specified (the study covers the entire Netherlands, but no specific total area is mentioned)</t>
  </si>
  <si>
    <t>4006</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</si>
  <si>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</si>
  <si>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Limited sample size affecting statistical significance
- Homogeneous sample limiting generalizability
- Potential inaccuracies in official residential histories
- Reliance on government systems for data
- Conservative estimates due to data unreliability</t>
  </si>
  <si>
    <t>Citizen Information System → 1992 onwards</t>
  </si>
  <si>
    <t>"GBA system allows the reconstruction of the residential histories... from 1992 onward." (p. 256)</t>
  </si>
  <si>
    <t>1. National Commercial Robbery Registration System (LORS)2. Nationwide Citizen Information System (GBA)3. National Postal Code Database</t>
  </si>
  <si>
    <t>Commercial Robbery</t>
  </si>
  <si>
    <t>276</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</si>
  <si>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</si>
  <si>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t>1. Number of residents (population size); 2. Population density; 3. Population percentage aged 15–25; 4. Population percentage born abroad; 5. Population percentage single</t>
  </si>
  <si>
    <t>1. Total area covered by retail businesses</t>
  </si>
  <si>
    <t>1. Average real estate property value</t>
  </si>
  <si>
    <t>1. Distance (km); 2. Distance to nearest highway ramp</t>
  </si>
  <si>
    <t>1. Current area of residence; 2. Former area of residence</t>
  </si>
  <si>
    <t>The authors justify their use of postal code areas as the spatial unit of analysis by stating they approximate the area of an individual's awareness space. However, they do not explicitly or substantively discuss the Modifiable Areal Unit Problem (MAUP), aggregation bias, scale effects, or zoning effects. The discussion focuses on the reliability of residential history data and the theoretical implications of the results rather than the statistical issues related to the choice of spatial units.</t>
  </si>
  <si>
    <t>The authors conducted a sensitivity analysis by re-estimating their models using alternative thresholds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</si>
  <si>
    <t>Broaden the spatial measurement of awareness space to include a wider array of activity nodes and the habitual routes (paths) between them, rather than relying solely on residential history.</t>
  </si>
  <si>
    <t>Familiar Locations And Similar Activities: Examining The Contributions Of Reliable And Relevant Knowledge In Offenders' Crime Location Choices</t>
  </si>
  <si>
    <t>Sophie Curtis-Ham, Wim Bernasco, Oleg N Medvedev, Devon L L Polaschek</t>
  </si>
  <si>
    <t>New Zealand</t>
  </si>
  <si>
    <t>Statistical Area 2 (SA2s)/neighborhoods</t>
  </si>
  <si>
    <t>Statistical Area 2 (SA2)</t>
  </si>
  <si>
    <t>1.2</t>
  </si>
  <si>
    <t>2153</t>
  </si>
  <si>
    <t>2,000-4,000 residents (1,000-3,000 in rural areas)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</si>
  <si>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</si>
  <si>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Computational limitations due to large dataset size required sampling.
- Data did not capture all pre-offense activity locations.
- Proxies were used for offenders' knowledge, which may not be direct measures.
- Method for filling in missing data introduced imprecision.
- Overestimation of frequency for certain activity locations.
- Emphasis on general patterns over specific effect sizes due to these limitations.</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</si>
  <si>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</si>
  <si>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</si>
  <si>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2009-2018</t>
  </si>
  <si>
    <t>2004–2018</t>
  </si>
  <si>
    <t>Census/Business → 2018</t>
  </si>
  <si>
    <t>"Census 2018 data were used... Business demography... 2018 was used" (p. 15, 1511)</t>
  </si>
  <si>
    <t>1. New Zealand Police National Intelligence Application (NIA)2. NZ Statistics Census data3. Business Demography data4. Statistics NZ Datafinder (2018 SA2 shapefiles)5. Time-use surveys (referenced for activity frequency/timing)</t>
  </si>
  <si>
    <t>Residential Burglary; non-Residential Burglary; commercial Robbery; personal Robbery; extra-familial sex offenses</t>
  </si>
  <si>
    <t>Residential Burglary; Non-residential Burglary; Commercial Robbery; Personal Robbery; Extra-familial Sex Offenses</t>
  </si>
  <si>
    <t>38120</t>
  </si>
  <si>
    <t>1. Combined reliability and relevance of spatial knowledge (Categorical variable combining familiarity factors and activity similarity) 2. Distance to nearest activity node (Spatial proximity predictor) 3. Crime opportunity (Target distribution/density control)</t>
  </si>
  <si>
    <t>1. Crime opportunity (Target distribution/density control)</t>
  </si>
  <si>
    <t>1. Distance to nearest activity node (Spatial proximity predictor)</t>
  </si>
  <si>
    <t>1. Combined reliability and relevance of spatial knowledge (Categorical variable combining familiarity factors and activity similarity)</t>
  </si>
  <si>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</si>
  <si>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t>The authors performed several alternative-specification and robustness checks. They conducted preliminary analyses to ensure variables included in their indices were not redundant and contributed to the model's variance. Additionally, they addressed potential sensitivity to the "arbitrary" 50th percentile cutoff used to categorize reliability and relevance by exploring an alternative three-level (high/medium/low) classification to verify if a more granular approach would alter their findings.</t>
  </si>
  <si>
    <t>Increase spatial measurement precision and granularity by utilizing high-resolution data collection methods and expand the geographic scale of research to other jurisdictions to verify findings.</t>
  </si>
  <si>
    <t>Family Matters: Effects Of Family Members' Residential Areas On Crime Location Choice</t>
  </si>
  <si>
    <t>Barbara Menting, Marre Lammers, Stijn Ruiter, Wim Bernasco</t>
  </si>
  <si>
    <t>~ 7,000</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</si>
  <si>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</si>
  <si>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Limited to the greater The Hague area, which is not representative of the entire Netherlands.
- Does not account for variations in family relationships and dynamics.
- Indirect measurement of awareness spaces based on register data.
- Does not directly measure awareness spaces or account for other activity nodes.
- Generic model does not differentiate between different types of crimes.</t>
  </si>
  <si>
    <t>"determined for each postal code area for the years 2006–2009." (p. 1583); "facilities in the study area in the years 2006–2009." (p. 1584)</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</si>
  <si>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</si>
  <si>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t>any-crime-type offences</t>
  </si>
  <si>
    <t>19420</t>
  </si>
  <si>
    <t>1. Residential area of parents (Current/Former/Never)2. Residential area of siblings (Current/Former/Never)3. Residential area of children (Current/Former/Never)4. Residential area of offender (Current/Former/Never)5. Euclidean distance6. Previous crime location (binary)7. Population density8. Percentage of residents with a non-Western background9. Percentage of single-person households10. Number of employees11. Number of retail stores12. Number of hotels, restaurants, and bars13. Number of schools14. Number of health-care facilities15. Number of cultural facilities16. Number of sport and leisure facilities</t>
  </si>
  <si>
    <t>1. Population density; 2. Percentage of residents with a non-Western background; 3. Percentage of single-person households</t>
  </si>
  <si>
    <t>1. Number of employees; 2. Number of retail stores; 3. Number of hotels, restaurants, and bars; 4. Number of schools; 5. Number of health-care facilities; 6. Number of cultural facilities; 7. Number of sport and leisure facilities</t>
  </si>
  <si>
    <t>1. Euclidean distance</t>
  </si>
  <si>
    <t>1. Residential area of parents (Current/Former/Never); 2. Residential area of siblings (Current/Former/Never); 3. Residential area of children (Current/Former/Never); 4. Residential area of offender (Current/Former/Never); 5. Previous crime location (binary)</t>
  </si>
  <si>
    <t>Not mentioned (the paper does not specify any software or programming tools used for data analysis)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</si>
  <si>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</si>
  <si>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t>The authors conducted sensitivity and alternative-specification analyses by performing preliminary tests for variable redundancy and by re-estimating their constructs using alternative thresholds. Specifically, they tested the stability of their findings by moving from a dichotomous "high/low" classification to a more granular tripartite (high/medium/low) categorization for the reliability and relevance indices to ensure the results were not merely artifacts of the chosen cut-offs.</t>
  </si>
  <si>
    <t>Expand the geographical scale of analysis and move beyond discrete spatial units (activity nodes) to incorporate linear paths (routes) between those locations.</t>
  </si>
  <si>
    <t>Formal Evaluation Of The Impact Of Barriers And Connectors On Residential Burglars' Macro-Level Offending Location Choices</t>
  </si>
  <si>
    <t>Joseph Clare, John Fernandez, Frank Morgan</t>
  </si>
  <si>
    <t>Perth</t>
  </si>
  <si>
    <t>~1967.16</t>
  </si>
  <si>
    <t>Suburb</t>
  </si>
  <si>
    <t>6.76</t>
  </si>
  <si>
    <t>291</t>
  </si>
  <si>
    <t>4669</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</si>
  <si>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</si>
  <si>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Theory, data availability, and method</t>
  </si>
  <si>
    <t xml:space="preserve">Theory; Method; Data Availability; </t>
  </si>
  <si>
    <t>Limited to Perth metropolitan area
- Exclusion of suburbs outside Perth metropolitan area
- Dataset did not allow unique identification of offenders
- Predefined set of 291 residential suburbs
- Complexity in selecting appropriate spatial scale</t>
  </si>
  <si>
    <t>artificially constructed and uniform areas</t>
  </si>
  <si>
    <t>The authors suggest considering more artificially constructed and uniform areas as an alternative to the current spatial scale, possibly smaller than neighborhoods, to minimize variations in surface size and better capture crime rate variations.</t>
  </si>
  <si>
    <t>January 1, 2001, to December 31, 2002</t>
  </si>
  <si>
    <t>2001–2002</t>
  </si>
  <si>
    <t>Census → 2001, 2002</t>
  </si>
  <si>
    <t>"2001 Australian Census" (p. 147); "resulting from the 2002 Census" (p. 148)</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</si>
  <si>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</si>
  <si>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1761</t>
  </si>
  <si>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</si>
  <si>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Percentage of rental properties; 2. Ethnic heterogeneity (percentage of Indigenous residents moderated by offender ethnicity); 3. Number of residential units</t>
  </si>
  <si>
    <t>1. River barrier (Boolean); 2. Road barrier (Boolean); 3. Train connector (Boolean); 4. Residential transience (5-year)</t>
  </si>
  <si>
    <t>1. Suburb income (weekly category); 2. SEIFA index (Advantage–Disadvantage)</t>
  </si>
  <si>
    <t>1. Distance to offender home (moderated by offender age)</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</si>
  <si>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</si>
  <si>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t>The authors conducted a robustness check by re-estimating the discrete spatial choice model using an alternative sample (referred to as a "restricted choice set") consisting of 86 suburbs bordering the Swan River. This analysis was performed to verify the stability of the parameter estimates and to investigate whether the inhibitory effect of the river barrier was more pronounced when examined in isolation from suburbs that might already be considered remote due to distance decay.</t>
  </si>
  <si>
    <t>Use artificially constructed and uniform spatial areas as units of analysis instead of existing administrative boundaries like suburbs.</t>
  </si>
  <si>
    <t>Go Where The Money Is: Modeling Street Robbers' Location Choices</t>
  </si>
  <si>
    <t>Wim Bernasco, Richard Block, Stijn Ruiter</t>
  </si>
  <si>
    <t>Not specified (the paper does not provide the total area of the study region)</t>
  </si>
  <si>
    <t>140 x 140</t>
  </si>
  <si>
    <t>118</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</si>
  <si>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</si>
  <si>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Theory, previous research, data availability, and method</t>
  </si>
  <si>
    <t xml:space="preserve">Theory; Previous Research; Method; Data Availability; </t>
  </si>
  <si>
    <t>The study uses census blocks as the spatial unit of analysis, which is a finer scale than previously used large urban areas or census tracts.
- The selection of census blocks was influenced by their small size and detailed data availability.
- The study excluded blocks with no land and robberies committed outside Chicago city boundaries.
- A limitation of the data was the inability to track offenders across multiple robberies.
- The assumption that robbers have detailed knowledge of all census blocks is a strong one.
- The study did not have access to information on prior crimes or past residential addresses of offenders.</t>
  </si>
  <si>
    <t>Computational constraint: Estimating the multinomial logit model on the full dataset would require processing 325 million combinations, exceeding the capabilities of most contemporary computer workstations.
- Memory constraint: Computer memory was strictly limited, necessitating the use of a bootstrapping procedure and reducing the sample size for the universal logit model from 6000 to 4000.</t>
  </si>
  <si>
    <t>Street segments and street corners were considered as alternative units but not used; the authors chose census blocks for their analysis to capture fine-grained spatial decisions.</t>
  </si>
  <si>
    <t>1996-1998</t>
  </si>
  <si>
    <t>Claritas → 1996–1998; Census → 2000</t>
  </si>
  <si>
    <t>"Claritas... during the same period the crime data were recorded" (p. 125); "U.S. 2000 Census." (p. 126)</t>
  </si>
  <si>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</si>
  <si>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t>6000</t>
  </si>
  <si>
    <t>Multinomial Logit Model and Universal Logit Model</t>
  </si>
  <si>
    <t>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</si>
  <si>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t>1. Total population (focal); 2. Spatial lag: Total population</t>
  </si>
  <si>
    <t>1. Bars and clubs (focal); 2. Fast-food restaurants (focal); 3. Barbers and beauty salons (focal); 4. Liquor stores (focal); 5. Grocers (focal); 6. General merchandise stores (focal); 7. Gas stations (focal); 8. Laundromats (focal); 9. Pawn shops and check-cashing services (focal); 10. Drug-related incidents (focal); 11. Prostitution-related incidents (focal); 12. Illegal gambling incidents (focal); 13. Presence of a main street (focal); 14. Presence of an El station (focal); 15. Presence of a high school (focal); 16. Spatial lag: Bars and clubs; 17. Spatial lag: Fast-food restaurants; 18. Spatial lag: Barbers and beauty salons; 19. Spatial lag: Liquor stores; 20. Spatial lag: Grocers; 21. Spatial lag: General merchandise stores; 22. Spatial lag: Gas stations; 23. Spatial lag: Laundromats; 24. Spatial lag: Pawn shops and check-cashing services; 25. Spatial lag: Drug-related incidents; 26. Spatial lag: Prostitution-related incidents; 27. Spatial lag: Illegal gambling incidents; 28. Spatial lag: Presence of a main street; 29. Spatial lag: Presence of an El station; 30. Spatial lag: Presence of a high school</t>
  </si>
  <si>
    <t>1. Distance to target block (km)</t>
  </si>
  <si>
    <t>1. Racial/ethnic composition of target block population (Majority type interacted with offender race)</t>
  </si>
  <si>
    <t>The authors explicitly address aggregation bias as a rationale for their choice of spatial units, specifically citing Openshaw (1984)—the seminal author on the Modifiable Areal Unit Problem (MAUP). They substantively discuss scale effects, arguing that "zooming in" to the census block level is necessary because crime is often concentrated at scales no larger than a street segment, and larger units may obscure "fine-grained spatial decisions".</t>
  </si>
  <si>
    <t>The authors performed several explicit tests to ensure the stability of their findings. They utilized a bootstrapping procedure with 25 iterations to provide more conservative and precise parameter estimates. They also conducted re-estimation using alternative distance thresholds (2, 5, and 10 km) to verify that their distance decay results were not biased by proximity to city boundaries. Additionally, they performed a robustness check by comparing their primary sampling method against the full choice set of nearly 25,000 blocks, confirming the results were stable. Finally, they tested alternative spatial lags by extending the model to include second-order adjacent blocks.</t>
  </si>
  <si>
    <t>Shift from purely spatial choice units to spatiotemporal units and expand the set of spatial anchor points considered beyond the offender's current residence to include former homes, schools, and workplaces.</t>
  </si>
  <si>
    <t>Graffiti Writers Choose Locations That Optimize Exposure</t>
  </si>
  <si>
    <t>K Kuralarasan, Wim Bernasco, Christophe Vandeviver</t>
  </si>
  <si>
    <t>Ghent</t>
  </si>
  <si>
    <t>~0.188</t>
  </si>
  <si>
    <t>Street segments</t>
  </si>
  <si>
    <t>8.4400000000000005E-5</t>
  </si>
  <si>
    <t>2233</t>
  </si>
  <si>
    <t>2.5099999999999998</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</si>
  <si>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</si>
  <si>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Theory, previous research, and method</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</si>
  <si>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</si>
  <si>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</si>
  <si>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2017</t>
  </si>
  <si>
    <t>SSO → 2017</t>
  </si>
  <si>
    <t>"The data were collected... in November 2017 using systematic social observation (SSO)." (p. 1760)</t>
  </si>
  <si>
    <t>1. Systematic Social Observation (SSO) data (in-person field observations of graffiti, crowd-attracting facilities, and street characteristics)2. Digitized street network map of Ghent (spatial data used to define street segment polygons and calculate betweenness centrality)</t>
  </si>
  <si>
    <t>Graffiti</t>
  </si>
  <si>
    <t>Vandalism</t>
  </si>
  <si>
    <t>12655</t>
  </si>
  <si>
    <t>1. Area, 2. Segment type, 3. Betweenness, 4. Bars, 5. Night shops, 6. Night clubs, 7. Restaurants, 8. Shops, 9. Schools, 10. Residences, 11. Trees along the street</t>
  </si>
  <si>
    <t>1. Area; 2. Segment type; 3. Betweenness; 4. Bars; 5. Night shops; 6. Night clubs; 7. Restaurants; 8. Shops; 9. Schools; 10. Residences; 11. Trees along the street</t>
  </si>
  <si>
    <t>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</si>
  <si>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Broaden the geographic scale of research by conducting cross-cultural studies across diverse urban environments and different societal contexts.</t>
  </si>
  <si>
    <t>How Do Residential Burglars Select Target Areas? A New Approach To The Analysis Of Criminal Location Choice</t>
  </si>
  <si>
    <t>Wim Bernasco, Paul Nieuwbeerta, Richard Block, Henk Elffers, Jan De Keijser, Jasper Van Der Kemp, Peter Van Koppen</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</si>
  <si>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</si>
  <si>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heory, previous research, data availability, and method</t>
  </si>
  <si>
    <t>Low detection rate of residential burglaries (7%) could bias results.
- Exclusion of burglaries committed outside the city of The Hague due to lack of data on neighborhood characteristics.
- Restriction to single-offender burglaries.
- Reliance on police records, which may not capture all burglaries.
- Administrative boundary constraints due to reliance on data from the municipality of The Hague.</t>
  </si>
  <si>
    <t>Neighborhood variables → 1996–2001</t>
  </si>
  <si>
    <t>"neighbourhood variables... averaged over the period 1996–2001." (p. 307); "Kerncijfers Wonen 2000" (p. 305)</t>
  </si>
  <si>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</si>
  <si>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</si>
  <si>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</si>
  <si>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1. Ethnic heterogeneity; 2. Percentage of single-family dwellings; 3. Number of residential units</t>
  </si>
  <si>
    <t>1. Residential mobility</t>
  </si>
  <si>
    <t>1. Affluence (average value of residential real estate)</t>
  </si>
  <si>
    <t>1. Proximity to the offender's home; 2. Proximity to the city centre</t>
  </si>
  <si>
    <t>1. Interaction term for minor vs. adult burglars; 2. Interaction term for native vs. non-native burglars</t>
  </si>
  <si>
    <t>Stata</t>
  </si>
  <si>
    <t>YES</t>
  </si>
  <si>
    <t>The authors conducted explicit alternative-specification analyses by testing four different functional forms for the proximity variable (linear, inverse, inverse squared, and logarithmic) to ensure results were stable. They also performed a robustness check using Hausman's specification test, re-estimating the model 178 times by systematically excluding individual neighborhoods to verify that the parameter estimates remained stable and were not unduly influenced by specific spatial units.</t>
  </si>
  <si>
    <t>Broaden the geographic scale to include multiple international urban contexts and larger regional areas beyond a single city boundary. Additionally, shift the unit of analysis to individual targets (objects) or proximate target clusters for repeat victimization studies, while also accounting for the characteristics of adjacent spatial units.</t>
  </si>
  <si>
    <t>Investigating The Effect Of People On The Street And Streetscape Physical Environment On The Location Choice Of Street Theft Crime Offenders Using Street View Images And A Discrete Spatial Choice Model</t>
  </si>
  <si>
    <t>Han Yue, Lin Liu, Luzi Xiao, Y D Wei</t>
  </si>
  <si>
    <t>~2650.32</t>
  </si>
  <si>
    <t>1636</t>
  </si>
  <si>
    <t>~9,352</t>
  </si>
  <si>
    <t>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</si>
  <si>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</si>
  <si>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Data availability</t>
  </si>
  <si>
    <t>Data Availability</t>
  </si>
  <si>
    <t>Data availability: Communities with less than 50% coverage of Street View Images (SVIs) were excluded.
- Administrative boundary constraints: The study used communities as the spatial unit of analysis, which is a common administrative boundary in urban planning and research.
- Static nature of SVIs: SVIs are collected instantly and cannot capture dynamic changes in on-street populations or small objects like broken windows and graffiti.</t>
  </si>
  <si>
    <t>Street view images: 2016, 2017, 2019
- Crime data: 2017-2018</t>
  </si>
  <si>
    <t>SVIs → 2016, 2017, 2019; POI → 2016; Census → 2010</t>
  </si>
  <si>
    <t>"selected street view images captured in 2016, 2017, and 2019" (p. 1877); "point of interest data of 2016" (p. 1889); "2010 sixth national census" (p. 1889)</t>
  </si>
  <si>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</si>
  <si>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snatching, pickpocketing, and theft from the person</t>
  </si>
  <si>
    <t>Snatching, Pickpocketing, And Theft From The Person</t>
  </si>
  <si>
    <t>1540</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</si>
  <si>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</si>
  <si>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1. Percent migrants</t>
  </si>
  <si>
    <t>1. Number of people on the street; 2. Percent wall; 3. Percent fence; 4. Percent window; 5. Percent grass; 6. Percent plant; 7. Percent sidewalk; 8. ATM and banks; 9. Bus stops; 10. Subway stations; 11. Schools; 12. Hospitals; 13. Guard stations</t>
  </si>
  <si>
    <t>1. Percent low-rent houses</t>
  </si>
  <si>
    <t>1. Proximity (to offender's home)</t>
  </si>
  <si>
    <t>Individualize the geographic scale of the analysis by narrowing the alternative set of spatial units for each offender to match the specific spatial extent of their daily activities, moving away from using a uniform set of alternatives for all offenders.</t>
  </si>
  <si>
    <t>Learning Where To Offend Effects Of Past On Future Burglary Locations</t>
  </si>
  <si>
    <t>Wim Bernasco, Shane D Johnson</t>
  </si>
  <si>
    <t>West Midlands</t>
  </si>
  <si>
    <t>Census Lower Level Super Output Area (LSOA)</t>
  </si>
  <si>
    <t>Lower Super Output Areas (LSOA)</t>
  </si>
  <si>
    <t>0.51</t>
  </si>
  <si>
    <t>1687</t>
  </si>
  <si>
    <t>1500</t>
  </si>
  <si>
    <t>The study takes a contextual variable (house price sales) originally available as individual property records (a finer spatial scale) and deliberately aggregates them to a coarser spatial unit (LSOA) to calculate a neighborhood mean for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</si>
  <si>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</si>
  <si>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 -&gt; add: * Another unresolved issue is the potential confounding by patterns of co-offending. * No distinction between successful and unsuccesfull burglaries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</si>
  <si>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</si>
  <si>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</si>
  <si>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January 2007 to December 2012</t>
  </si>
  <si>
    <t>2007–2012</t>
  </si>
  <si>
    <t>Census → 2001; Land Registry → 1995–2012</t>
  </si>
  <si>
    <t>"obtained from the 2001 UK census." (p. 1971); "Land Registry for the period 1995-2012." (p. 1972)</t>
  </si>
  <si>
    <t>1. West Midlands Police Force records (data on 3,337 detected burglaries including offender identifiers, incident coordinates, and offender residential addresses)2. 2001 UK Census (population and social data used to calculate LSOA/MSOA ethnic diversity and population turnover)3. UK Land Registry (individual house price sales records for the period 1995–2012)4. Department for Transport National Public Transport Access Node (NaPTAN) database (locations of bus and rail stations)</t>
  </si>
  <si>
    <t>3337</t>
  </si>
  <si>
    <t>Multinomial logit model</t>
  </si>
  <si>
    <t>1. Prior burglary in same LSOA, 2. Prior burglary in same MSOA, 3. Distance to home, 4. Bus stations, 5. Train stations, 6. Distance to city center, 7. Number of households, 8. Single-family residences, 9. Mean house price, 10. Ethnic diversity, 11. Population turnover</t>
  </si>
  <si>
    <t>1. Number of households; 2. Single-family residences; 3. Ethnic diversity</t>
  </si>
  <si>
    <t>1. Bus stations; 2. Train stations; 3. Population turnover</t>
  </si>
  <si>
    <t>1. Mean house price</t>
  </si>
  <si>
    <t>1. Distance to home; 2. Distance to city center</t>
  </si>
  <si>
    <t>1. Prior burglary in same LSOA; 2. Prior burglary in same MSOA</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</si>
  <si>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t>
  </si>
  <si>
    <t>Expand the geographic scale of offender data to include comprehensive activity spaces (encompassing former residences and routine activity nodes) and shift the unit of analysis from individuals to co-offending groups.</t>
  </si>
  <si>
    <t>Location Choice Of Snatching Offenders In Chennai City</t>
  </si>
  <si>
    <t>K Kuralarasan, Wim Bernasco</t>
  </si>
  <si>
    <t>India</t>
  </si>
  <si>
    <t>Chennai</t>
  </si>
  <si>
    <t>438.18</t>
  </si>
  <si>
    <t>Wards</t>
  </si>
  <si>
    <t>2.1800000000000002</t>
  </si>
  <si>
    <t>201</t>
  </si>
  <si>
    <t>33195</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</si>
  <si>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</si>
  <si>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-&gt; add selection bias because of underreporting</t>
  </si>
  <si>
    <t>No computational constraints mentioned. The choice of spatial units was influenced by the complexity and scope of the study, but no specific computational limitations were detailed.</t>
  </si>
  <si>
    <t>streets, street segments or parcels</t>
  </si>
  <si>
    <t>Alternative units considered but not used: streets, street segments, parcels. Reason for rejection: The study's scope and design did not accommodate a multiple-scale analysis, and using smaller units would require additional research questions and strategies.</t>
  </si>
  <si>
    <t>August 2010 to July 2017</t>
  </si>
  <si>
    <t>2010–2017</t>
  </si>
  <si>
    <t>Census → 2011</t>
  </si>
  <si>
    <t>"population... based on latest census in 2011." (p. 677)</t>
  </si>
  <si>
    <t>State Crime Records Bureau, Tamil Nadu, India; Google location services; Greater Chennai Corporation database</t>
  </si>
  <si>
    <t>1573</t>
  </si>
  <si>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</si>
  <si>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1. Ward population</t>
  </si>
  <si>
    <t>1. Ward surface area; 2. Retail stores; 3. Transit stations; 4. Mosques; 5. Temples; 6. Churches; 7. Education institutions; 8. School and college; 9. Personal care businesses; 10. Hospitals; 11. Marriage halls; 12. Jewelry shops; 13. Textile stores; 14. Parks; 15. Recreation facilities; 16. Restaurants; 17. Government offices</t>
  </si>
  <si>
    <t>1. Log-distance to offender home</t>
  </si>
  <si>
    <t>1. Prior offending in ward (dichotomy)</t>
  </si>
  <si>
    <t>ArcGIS V10.3, Google Earth Pro</t>
  </si>
  <si>
    <t>"Are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</si>
  <si>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t>The authors conducted multiple forms of sensitivity and alternative-specification analysis. They re-estimated models using three different distance binning thresholds (1000m, 500m, and 250m) to explore the functional form of distance decay. They also performed alternative-specification testing by comparing models with untransformed distance versus log-transformed distance using AIC and BIC to ensure optimal model fit. Additionally, they tested alternative parameter thresholds for the prior offending variable (comparing 1 prior offense against 2–3 offenses) to determine if a dichotomous or categorical specification was more stable.</t>
  </si>
  <si>
    <t>Conduct a systematic analysis of how findings depend on the shapes, sizes, and nesting structures of spatial units, specifically suggesting a move toward more fine-grained resolutions such as street segments or parcels.</t>
  </si>
  <si>
    <t>Location, Location, Location: Effects Of Neighborhood And House Attributes On Burglars' Target Selection</t>
  </si>
  <si>
    <t>Christophe Vandeviver, Wim Bernasco</t>
  </si>
  <si>
    <t>156</t>
  </si>
  <si>
    <t>Statistical districts</t>
  </si>
  <si>
    <t>0.79</t>
  </si>
  <si>
    <t>193 neighborhood and 138,321 residentaial units</t>
  </si>
  <si>
    <t>1287</t>
  </si>
  <si>
    <t>The authors justify their choice of spatial unit size byemphasizing that burglars target individual residences rather than entire neighborhoods.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</si>
  <si>
    <t>Theory and Previous research</t>
  </si>
  <si>
    <t>Use of predefined "statistical districts" as neighborhoods may not align with actual spatial patterns.
- Neighborhood and residence data were not contemporaneous with burglary data.
- Census data lack relevant variables for burglary target selection.
- Scarcity of large-scale residence-level data and difficulty in measuring situational cues.
- Assumptions about burglary trip origins and offender information may not be accurate.</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</si>
  <si>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</si>
  <si>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2005-2014</t>
  </si>
  <si>
    <t>2005–2014</t>
  </si>
  <si>
    <t>Census → 2011; Income → 2005–2012</t>
  </si>
  <si>
    <t>"2011 Belgian Census" (p. 791); "median income averaged for 2005–2012" (p. 792)</t>
  </si>
  <si>
    <t>1. Police-recorded burglary and offender records (Ghent Police)
2. 2011 Belgian Census (Statistics Belgium)</t>
  </si>
  <si>
    <t>679</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</si>
  <si>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</si>
  <si>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</si>
  <si>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Residential density; 2. Proportion non-Belgian residents; 3. Proportion rental units; 4. Number of occupants; 5. Number of residences inside the building; 6. Rental status</t>
  </si>
  <si>
    <t>1. Building construction type</t>
  </si>
  <si>
    <t>1. Median income</t>
  </si>
  <si>
    <t>1. Distance from the offender's home</t>
  </si>
  <si>
    <t>1. Prior burglary in neighborhood</t>
  </si>
  <si>
    <t>Incorporate an intermediate level of aggregation—specifically street segments—and analyze short-distance spatial spillover mechanisms.</t>
  </si>
  <si>
    <t>Modeling Micro-Level Crime Location Choice: Application Of The Discrete Choice Framework To Crime At Places</t>
  </si>
  <si>
    <t>The Hague; Zoetermeer; Delft</t>
  </si>
  <si>
    <t>400</t>
  </si>
  <si>
    <t>23984</t>
  </si>
  <si>
    <t>40</t>
  </si>
  <si>
    <t>The study uses small spatial units (average of 18 residential units and 40 residents) to analyze crime location choices.
- Justification includes the need for detailed spatial resolutions and alignment with contemporary geographic criminology research.
- Theoretical justification: understanding smaller units helps in understanding larger phenomena, avoiding ecological fallacies, and matching the unit of analysis to the theory.
- Practical considerations: heterogeneity of larger units, difficulty in defining boundaries, and physical coherence of postal code areas.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</si>
  <si>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</si>
  <si>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Computational constraints: The estimation of the multinomial logit model was computationally intensive due to the large number of potential alternatives (23,984 postal code areas) and decision-makers (1,871 burglaries), resulting in 44,874,064 combinations.
- Memory constraints: The data required 1.67 gigabytes of computer memory, which was beyond the capabilities of the software and hardware used.
- Processing challenges: The software and hardware were insufficient to handle the full dataset, necessitating a sampling approach to reduce the computational burden.
- Solution: A sampling procedure was used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</si>
  <si>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</si>
  <si>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2002-2007</t>
  </si>
  <si>
    <t>2002–2007</t>
  </si>
  <si>
    <t>Census → 2004</t>
  </si>
  <si>
    <t>"free public access data file of postal codes in the year 2004" (p. 2238)</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</si>
  <si>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</si>
  <si>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1871</t>
  </si>
  <si>
    <t>Spatial Competition Model</t>
  </si>
  <si>
    <t>1. Number of properties, 2. Proximity (to offender home), 3. Percent non-native population, 4. Percent population aged 15-25, 5. Mean property value, 6. Spatial competition factor</t>
  </si>
  <si>
    <t>1. Percent non-native population; 2. Percent population aged 15-25</t>
  </si>
  <si>
    <t>1. Spatial competition factor; 2. Number of properties</t>
  </si>
  <si>
    <t>1. Mean property value</t>
  </si>
  <si>
    <t>1. Proximity (to offender home)</t>
  </si>
  <si>
    <t>Stata/SE version 10</t>
  </si>
  <si>
    <t>The author explicitly discusses the modifiable areal unit problem (MAUP) by name, noting that analytical results are dependent on how space is partitioned into discrete units. Furthermore, the text addresses the ecological fallacy, specifically defining it as an error in reasoning where conclusions regarding micro-level units are drawn from aggregate-level data, and argues for using smaller spatial units to ensure the analysis matches the scale of the theory being tested.</t>
  </si>
  <si>
    <t>Implement a multidimensional conceptualization of spatial influence by incorporating multiple spatially weighted attributes (such as neighbors' affluence and age composition) into the model, rather than relying on a single accessibility or size measure.</t>
  </si>
  <si>
    <t>Modelling Taste Heterogeneity Regarding Offence Location Choices</t>
  </si>
  <si>
    <t>Michael J Frith</t>
  </si>
  <si>
    <t>York</t>
  </si>
  <si>
    <t>270</t>
  </si>
  <si>
    <t>Output Areas (referred to as Neighbourhoods)</t>
  </si>
  <si>
    <t>Output Areas (referred to as Neighborhoods)</t>
  </si>
  <si>
    <t>0.44</t>
  </si>
  <si>
    <t>616</t>
  </si>
  <si>
    <t>309</t>
  </si>
  <si>
    <t>The study deliberately aggregates a contextual variable (affluence) originally available at a finer spatial scale (individual property sale records from the Land Registry) to a higher spatial unit (the neighborhood) to calculate a median value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</si>
  <si>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</si>
  <si>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</si>
  <si>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</si>
  <si>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Larger spatial areas were considered but not used because they tend to be more heterogeneous and would not capture local variations between sub-areas.
- Smaller units (~0.03km^2) were used in other studies like Frith et al. (2017), but the current study used larger units (0.44km^2) compared to those smaller units.</t>
  </si>
  <si>
    <t>April 2008 to March 2012</t>
  </si>
  <si>
    <t>Census → 2011; Land Registry → 2006–2014</t>
  </si>
  <si>
    <t>"2011 UK Census" (p. 11); "median price paid for a house between 2006 and 2014" (p. 13, 2329)</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</si>
  <si>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</si>
  <si>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Residential Burglary; Robbery; theft from vehicles</t>
  </si>
  <si>
    <t>Residential Burglary; Robbery; Theft From Vehicles</t>
  </si>
  <si>
    <t>1105</t>
  </si>
  <si>
    <t>Conditional Logit (CL)
- Mixed Logit (ML)
- Latent Class Logit (LCL)</t>
  </si>
  <si>
    <t>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Class membership predictor)</t>
  </si>
  <si>
    <t>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2. Class membership predictor)</t>
  </si>
  <si>
    <t>1. Ethnic heterogeneity; 2. Socioeconomic heterogeneity; 3. Offender gender (Class membership predictor); 4. Offender age group (Class membership predictor)</t>
  </si>
  <si>
    <t>1. Residential churn; 2. Number of potential targets</t>
  </si>
  <si>
    <t>1. Distance from the offender's home; 2. Distance to the city centre</t>
  </si>
  <si>
    <t>1. Previous offence location</t>
  </si>
  <si>
    <t>1. Offender prolificacy (Collapsed: 1, 2–3, or 4+ crimes; Class membership predictor)</t>
  </si>
  <si>
    <t>Stata 14</t>
  </si>
  <si>
    <t>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</si>
  <si>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t>The author performs several forms of sensitivity and robustness analysis. First, to address the issue of co-offending, the author conducts robustness checks using alternative samples by repeating the random selection of co-offenders five times to ensure the results remain stable. Second, the author performs re-estimation using alternative parameter values for the Latent Class Logit (LCL) model by testing two through eight classes and comparing their fit using CAIC and BIC. Finally, the author includes explicit tests for model stability by estimating each LCL model ten times with different random starting values to confirm the identification of a global maximum.</t>
  </si>
  <si>
    <t>Replicate findings using smaller spatial units (such as street-level scales) rather than larger aggregated areas to accurately measure social organization variables.</t>
  </si>
  <si>
    <t>Modelling The Spatial Decision Making Of Terrorists: The Discrete Choice Approach</t>
  </si>
  <si>
    <t>Northern Ireland</t>
  </si>
  <si>
    <t>Belfast</t>
  </si>
  <si>
    <t>10208.25</t>
  </si>
  <si>
    <t>Small Areas</t>
  </si>
  <si>
    <t>2.25</t>
  </si>
  <si>
    <t>890</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</si>
  <si>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</si>
  <si>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The study used Small Areas (SAs) as the spatial unit because sociodemographic variables were not included.
- The geographical boundary data for SAs was obtained from NISRA, indicating reliance on administrative boundaries.
- The dataset was limited by the availability of accurate home locations and the need to exclude cases outside the study area.
- The study was constrained by the unavailability of certain data, such as affluence levels and residential segregation information.
- The use of SAs was influenced by the lack of ecological meaning in areal unit boundaries and the potential inaccuracy in representing local perceptions.
- The study notes that smaller units like street blocks would be more appropriate but were limited by data availability.
- The choice of larger areal units like SAs was also influenced by statistical considerations, such as relaxing the effects of independence of irrelevant alternatives.</t>
  </si>
  <si>
    <t>street block</t>
  </si>
  <si>
    <t>Wards: The authors considered using wards as an alternative unit, but they were too large (mean area 2.25km^2) and could lead to incorrect estimations of variable effects.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</si>
  <si>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1969-1989</t>
  </si>
  <si>
    <t>1969–1989</t>
  </si>
  <si>
    <t>SA Boundaries → 2001</t>
  </si>
  <si>
    <t>"revised twice during this time... SAs from 2001" (p. 11, 2394)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</si>
  <si>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</si>
  <si>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bombings; shootings</t>
  </si>
  <si>
    <t>Bombings; Shootings</t>
  </si>
  <si>
    <t>150</t>
  </si>
  <si>
    <t>1. Distance (home-to-target), 2. Distance to city centre, 3. River (barrier), 4. Major road (connectivity), 5. Military base / police station</t>
  </si>
  <si>
    <t>1. River (barrier); 2. Major road (connectivity); 3. Military base / police station</t>
  </si>
  <si>
    <t>1. Distance (home-to-target); 2. Distance to city centre</t>
  </si>
  <si>
    <t>STATA</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</si>
  <si>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</si>
  <si>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</si>
  <si>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t>Future research should utilize smaller spatial units, specifically street blocks, adopt a street network approach, and expand the geographic scale to include other cities.</t>
  </si>
  <si>
    <t>Relationships Between Offenders' Crime Locations And Different Prior Activity Locations As Recorded In Police Data</t>
  </si>
  <si>
    <t>Not mentioned (the study is conducted at a national level in New Zealand, with no specific city names mentioned)</t>
  </si>
  <si>
    <t>2583.6</t>
  </si>
  <si>
    <t>Census Statistical Area 2</t>
  </si>
  <si>
    <t>2000–4000 residents in urban areas and 1000–3000 residents in rural areas.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</si>
  <si>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</si>
  <si>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Data limitations include incomplete records of activity locations for each offender.
- Not all family members' addresses or employment/education records were available.
- Reliance on reported crimes and incidents means unreported activities are not included.
- Lack of association between certain activity nodes and crime types may be due to missing data.
- Study focused on solved cases, which may not be representative of all offenders.
- Variation within offense types could affect results.</t>
  </si>
  <si>
    <t xml:space="preserve">
Dataset size / combinations</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</si>
  <si>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</si>
  <si>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SA2 Boundaries → 2018</t>
  </si>
  <si>
    <t>"2018 SA2 shapefile" (p. 12, 2491)</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</si>
  <si>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</si>
  <si>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Residential Burglary; non-Residential Burglary; commercial Robbery; personal Robbery; extra-familial sex offences</t>
  </si>
  <si>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</si>
  <si>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t>1. Opportunity (target availability)</t>
  </si>
  <si>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t>
  </si>
  <si>
    <t>The authors describe the considerations involved in selecting their spatial unit (Statistical Area 2), mentioning factors such as "spatial spill-over" and "spatial heterogeneity". However, these issues are mentioned descriptively as part of the justification for the chosen unit size rather than being linked to the Modifiable Areal Unit Problem (MAUP), aggregation bias, or scale effects. The paper does not explicitly use any of the technical terms required by the coding rules, such as "MAUP," "ecological fallacy," or "zoning effects."</t>
  </si>
  <si>
    <t>Future research should utilize longer distance ranges for spatial analysis in low-density jurisdictions, adopt a more granular approach to measuring activity locations, and replicate the study in different geographic contexts.</t>
  </si>
  <si>
    <t>Relative Difference And Burglary Location: Can Ecological Characteristics Of A Burglar's Home Neighborhood Predict Offense Location?</t>
  </si>
  <si>
    <t>Alyssa W Chamberlain, Lyndsay N Boggess</t>
  </si>
  <si>
    <t>Tampa</t>
  </si>
  <si>
    <t>Census block group</t>
  </si>
  <si>
    <t>334</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</si>
  <si>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</si>
  <si>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</si>
  <si>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Data availability: The study used block groups to ensure availability of contextual data not available at the block level.
- Administrative boundary constraints: The study normalized 2010 tract boundaries into 2000 boundaries due to changes in administrative boundaries over time.
- Objective-driven choice: The choice of block groups was influenced by the study's objective to emphasize geographic context.
- Consistency with recent scholarship: The use of block groups is consistent with recent studies in the field.</t>
  </si>
  <si>
    <t>Blocks were mentioned as an alternative unit used in other research for assessing criminogenic nodes or hot spots, but the authors chose block groups for their study to minimize within-neighborhood heterogeneity and ensure availability of contextual data.</t>
  </si>
  <si>
    <t>January 2000 through September 2012</t>
  </si>
  <si>
    <t>2000–2012</t>
  </si>
  <si>
    <t>Census → 2000, 2010</t>
  </si>
  <si>
    <t>"census data from 2000 and 2010." (p. 880)</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</si>
  <si>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</si>
  <si>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5182</t>
  </si>
  <si>
    <t>1. Distance, 2. Distance squared, 3. Percentage of Black residents, 4. Percentage of Latino residents, 5. Concentrated disadvantage, 6. Residential stability, 7. Ethnic heterogeneity, 8. Percentage of occupied housing, 9. Single-parent households, 10. Relative influence (interaction)</t>
  </si>
  <si>
    <t>1. Percentage of Black residents; 2. Percentage of Latino residents; 3. Ethnic heterogeneity; 4. Single-parent households</t>
  </si>
  <si>
    <t>1. Residential stability; 2. Percentage of occupied housing</t>
  </si>
  <si>
    <t>1. Concentrated disadvantage</t>
  </si>
  <si>
    <t>1. Distance; 2. Distance squared</t>
  </si>
  <si>
    <t>1. Relative influence (interaction)</t>
  </si>
  <si>
    <t>ArcGIS; Stata 14.0</t>
  </si>
  <si>
    <t>The authors conducted robustness checks by re-estimating their models using alternative samples.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systematically bias the findings.</t>
  </si>
  <si>
    <t>Expand geographic scale to incorporate long-distance offenses ("long crime trips") and refine spatial units to distinguish between specific land-use categories and target types (residential vs. commercial).</t>
  </si>
  <si>
    <t>Residential Burglary Target Selection: An Analysis At The Property-Level Using Google Street View</t>
  </si>
  <si>
    <t>Samuel H Langton, Wouter Steenbeek</t>
  </si>
  <si>
    <t>300</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</si>
  <si>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</si>
  <si>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Inability of Google Street View to capture isolated properties, leading to a biased sample.
- Preference of burglars for isolated properties, which were not captured.
- Limitation to daylight hours due to Google Street View data availability.
- Selection of neighborhoods based on data availability from a community survey, limiting the number of neighborhoods to 86.
- Concerns about administrative boundary constraints addressed through robustness checks with alternative neighborhood boundaries.</t>
  </si>
  <si>
    <t>The inability of the Google Car to capture isolated properties leads to a biased sample because these properties cannot be coded. This is a limitation in data collection rather than a computational constraint like memory or processing time.</t>
  </si>
  <si>
    <t>2008-2009 (crime event data from 2009; physical attributes collected using GSV images from 2008 and 2009)</t>
  </si>
  <si>
    <t>BAG → 2012; GSV → 2008, 2009; Survey → 2009</t>
  </si>
  <si>
    <t>"BAG... up until the year 2012" (p. 4, 2654); "GSV images... in the years 2008 and 2009" (p. 4, 2657); "community survey conducted... in 2009" (p. 4, 2660)</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</si>
  <si>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</si>
  <si>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Surveillability (Index), 2. Accessibility (Index), 3. Wealth (Index), 4. Ease of escape (Index), 5. Interaction (Surveillability × Collective efficacy), 6. Business presence, 7. Mixed land-use, 8. House type</t>
  </si>
  <si>
    <t>1. Surveillability (Index); 2. Accessibility (Index); 3. Ease of escape (Index); 4. Business presence; 5. Mixed land-use; 6. House type</t>
  </si>
  <si>
    <t>1. Wealth (Index)</t>
  </si>
  <si>
    <t>1. Interaction (Surveillability × Collective efficacy)</t>
  </si>
  <si>
    <t>R; Google Maps; Google Street View (GSV)</t>
  </si>
  <si>
    <t>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</si>
  <si>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t>The authors explicitly report conducting two types of stability tests. First, they performed a sensitivity analysis to evaluate if the weighting of individual items within their composite property-level constructs (e.g., accessibility or wealth) significantly influenced the model outcomes. Second, they conducted robustness checks by re-estimating their models using alternative spatial units (different neighbourhood boundaries) to ensure that the findings were not dependent on specific administrative definitions, confirming that the results remained consistent.</t>
  </si>
  <si>
    <t>Future research should continue to utilize and expand upon micro-spatial scales of analysis (individual properties) and explore the spatial trajectory of the journey-to-crime route.</t>
  </si>
  <si>
    <t>Right Place, Right Time? Making Crime Pattern Theory Time-Specific</t>
  </si>
  <si>
    <t>Sabine E M Van Sleeuwen, Stijn Ruiter, Wouter Steenbeek</t>
  </si>
  <si>
    <t>881.1</t>
  </si>
  <si>
    <t>2.63</t>
  </si>
  <si>
    <t>13305</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</si>
  <si>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</si>
  <si>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Small sample size (N = 71 offences committed by 30 offenders)
- Non-experimental research design with potential selection bias
- Limited to specific police regions in the Netherlands (The Hague and Noord-Holland)
- Bias related to police's ability to solve crimes within activity spaces
- Uncertainty in recall accuracy from respondents' memories
- Privacy concerns restricting data sharing</t>
  </si>
  <si>
    <t>Initial data collection for suspects: 2017
- Survey data collection: May to August 2019
- Crime data collection period: 2018-2019</t>
  </si>
  <si>
    <t>2018–2019</t>
  </si>
  <si>
    <t>Neighbourhoods → 2018</t>
  </si>
  <si>
    <t>"neighbourhoods in the Netherlands for the year 2018" (p. 6, 2718)</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</si>
  <si>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</si>
  <si>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Residential Burglary; theft of/from a bicycle, car or other (motor) vehicle; theft from a shop/shoplifting; theft (of an object) from a person; Robbery; assault; vandalism</t>
  </si>
  <si>
    <t>Residential Burglary; Theft Of/From A Bicycle, Car Or Other (Motor) Vehicle; Theft From A Shop/Shoplifting; Theft (Of An Object) From A Person; Robbery; Assault; Vandalism</t>
  </si>
  <si>
    <t>71</t>
  </si>
  <si>
    <t>1. Activity space overlap (time-sensitive)</t>
  </si>
  <si>
    <t>LimeSurvey; Google Maps</t>
  </si>
  <si>
    <t>The authors conducted an alternative-specification analysis by re-estimating the conditional logit model with an additional independent variable to ensure that the primary findings were not sensitive to the specific categorization of time-varying activity nodes. Furthermore, they performed a robustness check by using bootstrapping (100 samples) to calculate standard errors, specifically addressing potential biases arising from their small sample size of 71 offences.</t>
  </si>
  <si>
    <t>Future research should utilize GPS or smartphone tracking to move beyond static activity nodes and instead measure the "routinely travelled paths" between those nodes.</t>
  </si>
  <si>
    <t>Role Of The Street Network In Burglars' Spatial Decision-Making</t>
  </si>
  <si>
    <t>Michael J Frith, Shane D Johnson, Hannah M Fry</t>
  </si>
  <si>
    <t>High Wycombe; Beaconsfield; Marlow</t>
  </si>
  <si>
    <t>Street segment</t>
  </si>
  <si>
    <t>5286</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</si>
  <si>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</si>
  <si>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</si>
  <si>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The study area was limited to the "built-up areas" of three towns with a 1-km buffer.
- Data was restricted to residential burglaries recorded and cleared by the police.
- Geocoding limitations existed for some locations.
- Offenses outside the study area or committed by individuals living outside the area were excluded.
- No systematic social observation data was collected for social disorganization.
- Findings may only apply to offenders who were caught and recorded by the police.
- Replication with other forms of data is needed for external validity.</t>
  </si>
  <si>
    <t>Computational constraints related to edge effects in graph theory metrics required preprocessing and the use of a temporary buffer.
- Data cleaning was necessary to manage complexity and computational feasibility.
- Conversion of networks into a suitable form for graph theory analyses posed processing challenges.
- Maximum simulated likelihood (MSL) was limited by large choice-sets, leading to the use of hierarchical Bayes (HB).
- Computational limitations were addressed by using HB and managing Halton draws for convergence.</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</si>
  <si>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</si>
  <si>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2004-2014</t>
  </si>
  <si>
    <t>2004–2014</t>
  </si>
  <si>
    <t>"derived from the 2011 U.K. census." (p. 353, 2779)</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</si>
  <si>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</si>
  <si>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459</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</si>
  <si>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</si>
  <si>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t>
  </si>
  <si>
    <t>1. Ethnic Heterogeneity (%); 2. Socioeconomic Heterogeneity (%)</t>
  </si>
  <si>
    <t>1. Idiosyncratic Betweenness (10%); 2. Local Pedestrian (overall) Betweenness (10%); 3. Nonlocal Pedestrian (overall) Betweenness (10%); 4. Vehicular (overall) Betweenness (10%); 5. Residential Turnover (%); 6. Number of Dwellings</t>
  </si>
  <si>
    <t>1. Affluence (£10,000s)</t>
  </si>
  <si>
    <t>1. Idiosyncratic Farness (10 min)</t>
  </si>
  <si>
    <t>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</si>
  <si>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The authors explicitly performed several robustness and sensitivity checks to ensure the stability of their findings. This included re-estimating models with alternative thresholds for property affluence and "local" distance radii, excluding prolific offenders to test for sample bias, and using alternative random selections for co-offending incidents. They also verified that their results were robust to alternative model specifications by testing different route choice logics and confirming that results were consistent when using Maximum Simulated Likelihood (MSL) instead of Hierarchical Bayes (HB) estimation.</t>
  </si>
  <si>
    <t>Future research should refine the spatial definition of "local" areas to account for individual and environmental variation and expand the measurement of awareness spaces by incorporating additional activity nodes (such as workplaces or schools) as origin points.</t>
  </si>
  <si>
    <t>Situating Crime Pattern Theory Into The Explanation Of Co-Offending: Considering Area-Level Convergence Spaces</t>
  </si>
  <si>
    <t>Zachary R Rowan, Sarah Appleby, Jean Marie Mcgloin, Simon Fraser</t>
  </si>
  <si>
    <t>Baltimore City</t>
  </si>
  <si>
    <t>Baltimore</t>
  </si>
  <si>
    <t>237.03</t>
  </si>
  <si>
    <t>Census block groups</t>
  </si>
  <si>
    <t>0.14000000000000001</t>
  </si>
  <si>
    <t>square miles</t>
  </si>
  <si>
    <t>653</t>
  </si>
  <si>
    <t>953</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</si>
  <si>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</si>
  <si>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</si>
  <si>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Administrative boundary constraint</t>
  </si>
  <si>
    <t>The study is limited to data from a single city, which restricts generalizability.
- The use of census block groups as the unit of analysis may not fully capture convergence spaces.
- Incomplete geocoding of arrests due to missing or problematic location information affects data accuracy.
- Reliance on official records means unreported crimes and unarrested co-offenders are not accounted for.</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</si>
  <si>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</si>
  <si>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Smaller microunits (as suggested by advances in crime pattern theory) and different locales (rural, urban, suburban) were considered as alternative spatial units or scales but not used due to data limitations and the focus on census block groups.</t>
  </si>
  <si>
    <t>January 1, 2013, to December 31, 2016</t>
  </si>
  <si>
    <t>2013–2016</t>
  </si>
  <si>
    <t>Smart Location Database → 2010; ACS → 2011–2015</t>
  </si>
  <si>
    <t>"Smart Location Database... generated during the year 2010" (p. 687); "American Community Survey 5-year estimates" (p. 687, 2917)</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</si>
  <si>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</si>
  <si>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Robbery; theft; assault</t>
  </si>
  <si>
    <t>Robbery; Theft; Assault</t>
  </si>
  <si>
    <t>6249</t>
  </si>
  <si>
    <t>spatially lagged negative binomial regression models</t>
  </si>
  <si>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</si>
  <si>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1. Racial/ethnic heterogeneity; 2. Population density; 3. Percent poverty</t>
  </si>
  <si>
    <t>1. Number of bars; 2. Number of schools; 3. Number of transit stops; 4. Number of shopping outlets; 5. Auto-network density; 6. Pedestrian-network density; 7. Percent turnover</t>
  </si>
  <si>
    <t>1. Solo crime rate; 2. Group crime spatial lag</t>
  </si>
  <si>
    <t>GeoDa 1.14.0; Google Map</t>
  </si>
  <si>
    <t>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</si>
  <si>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The authors conducted a robustness check by performing a re-estimation using an alternative sample. They excluded specific crime types (robbery, theft, and assault) to test whether their results were driven by the instrumental requirements of those particular offences rather than the environmental convergence process they aimed to study.</t>
  </si>
  <si>
    <t>Future research should expand the geographic scale by replicating findings in diverse locales (rural, urban, and suburban) and adopt smaller micro-units of analysis than the census block group.</t>
  </si>
  <si>
    <t>Spatial Analysis With Preference Specification Of Latent Decision Makers For Criminal Event Prediction</t>
  </si>
  <si>
    <t>Yifei Xue, Donald E Brown</t>
  </si>
  <si>
    <t>Block groups and grid cells</t>
  </si>
  <si>
    <t>2517</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</si>
  <si>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</si>
  <si>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</si>
  <si>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Method and data availability</t>
  </si>
  <si>
    <t>Method; Data Availability</t>
  </si>
  <si>
    <t>Geographical limitation: Data was specific to Northern and Central Virginia and Richmond, VA.
- Aggregation requirement: Alternatives were aggregated into 2517 regular grids due to difficulty in representing individual house locations.
- Data availability issues: Features derived from census data and calculated distance values, which may have limitations in detail and accuracy.
- Correlation between attribute values: Potential correlation between census data and distance calculations could affect model accuracy.</t>
  </si>
  <si>
    <t>The large number of spatial alternatives for crime analysis makes data preparation and computation time prohibitively expensive, necessitating the use of importance sampling techniques to reduce computational burden.</t>
  </si>
  <si>
    <t>July 1, 1997 - October 31, 1997</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</si>
  <si>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</si>
  <si>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879</t>
  </si>
  <si>
    <t>1. Distance to highway (D.HIGHWAY), 2. Family density per unit area (FAM.DENSITY), 3. Personal care expenditure per household (P.CARE.PH), 4. Distance to hospital (D.HOSPITAL)</t>
  </si>
  <si>
    <t>1. Family density per unit area (FAM.DENSITY)</t>
  </si>
  <si>
    <t>1. Personal care expenditure per household (P.CARE.PH)</t>
  </si>
  <si>
    <t>1. Distance to highway (D.HIGHWAY); 2. Distance to hospital (D.HOSPITAL)</t>
  </si>
  <si>
    <t>No software meantion</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</si>
  <si>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</si>
  <si>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No explicit future-oriented spatial suggestions present.</t>
  </si>
  <si>
    <t>Target Choice During Extreme Events: A Discrete Spatial Choice Model Of The 2011 London Riots</t>
  </si>
  <si>
    <t>Peter Baudains, Alex Braithwaite, Shane D Johnson</t>
  </si>
  <si>
    <t>London; Birmingham; Manchester</t>
  </si>
  <si>
    <t>Lower Super Output Areas (LSOAs)</t>
  </si>
  <si>
    <t>4765</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</si>
  <si>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</si>
  <si>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Theory, previous research, method and data availability</t>
  </si>
  <si>
    <t>Theory; Previous Research; Method; Data Availability</t>
  </si>
  <si>
    <t>Use of smaller spatial units (LSOAs) may lead to spillover effects.
- Reliance on 2001 U.K. Census data for some variables, assuming demographic stability over a decade.
- Lack of data on police activity and arrests during the riots.</t>
  </si>
  <si>
    <t>August 6-11, 2011</t>
  </si>
  <si>
    <t>2011</t>
  </si>
  <si>
    <t>VOA → 2004; Census → 2001; Pop. estimates → 2010</t>
  </si>
  <si>
    <t>"VOA floor space data for the year 2004" (p. 267); "2001 U.K. Census." (p. 276); "mid-2010 population estimates" (p. 269)</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</si>
  <si>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</si>
  <si>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Burglary; Theft</t>
  </si>
  <si>
    <t>2299</t>
  </si>
  <si>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</si>
  <si>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1. Ethnic diversity; 2. Population density</t>
  </si>
  <si>
    <t>1. Number of schools; 2. Underground station presence; 3. Retail floor space; 4. River Thames barrier; 5. Population churn</t>
  </si>
  <si>
    <t>1. Deprivation (Index of Multiple Deprivation)</t>
  </si>
  <si>
    <t>1. Origin-destination distance (Home-to-offense distance); 2. Distance to city center</t>
  </si>
  <si>
    <t>1. Recent riot activity (Previous 24 hours)</t>
  </si>
  <si>
    <t>Stata 10 SE</t>
  </si>
  <si>
    <t>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</si>
  <si>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The authors conducted multiple robustness checks to ensure their results were stable and not artifacts of specific methodological choices. They addressed spatial dependence by testing spatial lags, ensured the findings were not driven by specific crime types (looting vs. others), and verified that statistical assumptions (such as the functional form of distance or standard error clustering) did not alter the conclusions. Finally, they used an alternative model specification to confirm that the observed contagion effect was not actually a result of unobserved spatial heterogeneity.</t>
  </si>
  <si>
    <t>Future research should shift its spatial methodology to analyze the neighborhoods in which offenders reside (origins) as the primary unit of focus, rather than focusing solely on the locations of the offenses (destinations).</t>
  </si>
  <si>
    <t>Target Selection Models With Preference Variation Between Offenders</t>
  </si>
  <si>
    <t>Michael Townsley, Daniel Birks, Stijn Ruiter, Wim Bernasco, â€¢ Gentry White</t>
  </si>
  <si>
    <t>1327.2</t>
  </si>
  <si>
    <t>Statistical Local Areas (SLAs)</t>
  </si>
  <si>
    <t>8.4</t>
  </si>
  <si>
    <t>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</si>
  <si>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</si>
  <si>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Data availability issues: Limited to detected residential burglaries.
- Administrative boundary constraints: Use of Statistical Local Areas (SLAs).
- Assumptions about offending trips: Originating from home locations.
- Limitations in neighborhood characteristics: Use of secondary data sources and proxies.
- Estimation challenges: Mixed logit model limitations due to IIA property.
- Unaddressed assumptions: Several assumptions remain uninvestigated.</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</si>
  <si>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</si>
  <si>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Street segments were mentioned as an alternative unit of analysis, as they have been used in other studies to demonstrate variability in crime levels and might offer a more detailed perspective on offender preferences compared to larger units like SLAs.</t>
  </si>
  <si>
    <t>Census → 2006</t>
  </si>
  <si>
    <t>"ABS 2006 Census" (p. 290)</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</si>
  <si>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</si>
  <si>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2844</t>
  </si>
  <si>
    <t>mixed logit model; conditional logit model</t>
  </si>
  <si>
    <t>1. Mean housing repayment (Affluence), 2. Proportion of single-family dwellings, 3. Residential mobility, 4. Proximity to city center, 5. Number of households, 6. Proximity (Distance to home)</t>
  </si>
  <si>
    <t>1. Proportion of single-family dwellings; 2. Number of households</t>
  </si>
  <si>
    <t>1. Mean housing repayment (Affluence)</t>
  </si>
  <si>
    <t>1. Proximity to city center; 2. Proximity (Distance to home)</t>
  </si>
  <si>
    <t>R</t>
  </si>
  <si>
    <t>.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</si>
  <si>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The authors conducted robustness checks by re-estimating their models using alternative samples, specifically excluding low-rate and prolific offenders to ensure that the results remained stable and were not driven by outliers. Furthermore, they performed a sensitivity analysis by testing alternative thresholds for their age-based segmented regression, varying the cut-off between ages 15 and 30 to identify the most robust parameter for their model fit.</t>
  </si>
  <si>
    <t>Future research should adopt smaller, more fine-grained spatial units of analysis, such as street segments, rather than the larger neighborhood-level units (SLAs) used in current models.</t>
  </si>
  <si>
    <t>Testing Ecological Theories Of Offender Spatial Decision Making Using A Discrete Choice Model</t>
  </si>
  <si>
    <t>Shane D Johnson, Lucia Summers</t>
  </si>
  <si>
    <t>Dorset</t>
  </si>
  <si>
    <t>Census Lower Super Output Area (LSOA)</t>
  </si>
  <si>
    <t>198</t>
  </si>
  <si>
    <t>1524</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</si>
  <si>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</si>
  <si>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Exclusion of crimes committed by offenders living outside the study area due to the need to enumerate all possible choices within the study region.
- Use of Lower Super Output Areas (LSOAs) as the unit of analysis, which are smaller than some areas used in previous studies.
- Reliance on police data, which includes both primary detections and crimes taken into consideration (TIC).
- Requirement for geographical coordinates for both offense and offender home locations, limiting data to only those offenses with complete location information.
- Lack of consideration of ethnic heterogeneity due to little variation in ethnicity across the study area.</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</si>
  <si>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</si>
  <si>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January 1, 2001, to December 31, 2005</t>
  </si>
  <si>
    <t>2001–2005</t>
  </si>
  <si>
    <t>Census → 2001</t>
  </si>
  <si>
    <t>"2001 U.K. Census." (p. 3160)</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</si>
  <si>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</si>
  <si>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Theft from vehicle (TFV)</t>
  </si>
  <si>
    <t>Theft From Vehicle</t>
  </si>
  <si>
    <t>721</t>
  </si>
  <si>
    <t>1. Distance to offender's home, 2. Distance to city center, 3. Presence of schools, 4. Presence of train stations, 5. Connectivity (major roads), 6. Adjacency, 7. Population turnover, 8. Socioeconomic heterogeneity, 9. Number of car parks, 10. Number of cars and vans</t>
  </si>
  <si>
    <t>1. Presence of schools; 2. Presence of train stations; 3. Connectivity (major roads); 4. Population turnover; 5. Number of car parks; 6. Number of cars and vans</t>
  </si>
  <si>
    <t>1. Distance to offender's home; 2. Distance to city center; 3. Adjacency</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</si>
  <si>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</si>
  <si>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The authors conducted robustness checks by re-estimating their models using an alternative sample (excluding co-offenses to focus only on single offenders) to ensure the stability of their results. Additionally, they performed alternative-specification analysis by testing untransformed Euclidean distance against logged distance to confirm model fit, and verified that using exact distance measurements for same-area travel did not alter the findings.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</si>
  <si>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</si>
  <si>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The Importance Of Importance Sampling: Exploring Methods Of Sampling From Alternatives In Discrete Choice Models Of Crime Location Choice</t>
  </si>
  <si>
    <t>Wim Medvedev, Oleg N Polaschek, Sophie Curtis-Ham, Wim Bernasco, Oleg N Medvedev, Devon L L Polaschek</t>
  </si>
  <si>
    <t>Census Statistical Area 2 (SA2)</t>
  </si>
  <si>
    <t>1.962</t>
  </si>
  <si>
    <t>Not specified (the paper provides a range of population sizes per SA2 but does not specify an average)</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</si>
  <si>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</si>
  <si>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Data availability issues: The dataset did not include all activity nodes for all offenders.
- Administrative boundary constraints: The use of SA2s as spatial units was likely influenced by administrative boundaries defined by the New Zealand Census.
- Selection bias: The study's reliance on solved cases may introduce selection bias, as the data may not be representative of all offenders.
- Reporting and clearance rate biases: The study may be influenced by biases related to reporting rates and clearance rates.</t>
  </si>
  <si>
    <t>Computational constraints: The models require estimation across three dimensions (crimes Ã— locations Ã— variables), leading to large datasets (up to 100 million rows) that exceed standard computing equipment capabilities.
- Memory constraints: High-performance computing environments may only offer temporary solutions due to the rapid growth of data.
- Processing challenges: Sampling from alternatives is used to reduce dataset size and processing time, with run times reduced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</si>
  <si>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</si>
  <si>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"2010 Japanese national census data." (p. 3234)</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</si>
  <si>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</si>
  <si>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Proximity to routine activity nodes, 2. Crime opportunity</t>
  </si>
  <si>
    <t>1. Crime opportunity</t>
  </si>
  <si>
    <t>1. Distance from offender's home</t>
  </si>
  <si>
    <t>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</si>
  <si>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The authors conducted robustness checks by performing a bootstrapping process (20 iterations) to ensure that the influence of random error introduced by sampling did not significantly alter the estimates,. They also performed alternative-specification analysis by testing nine different sampling strategies—varying both sample sizes and spatial distance thresholds (distance strata)—to determine which configuration most accurately approximated the results of the "all alternatives" full model,,,.</t>
  </si>
  <si>
    <t>Future research should adopt more granular spatial units (such as street segments, census blocks, or individual properties), utilize wider study areas, and incorporate expanded distance bands (beyond 5 km) from activity nodes.</t>
  </si>
  <si>
    <t>The Influence Of Activity Space And Visiting Frequency On Crime Location Choice: Findings From An Online Self-Report Survey</t>
  </si>
  <si>
    <t>Stijn Ruiter, Barbara Menting, Marre Lammers, Wim Bernasco</t>
  </si>
  <si>
    <t>33708.230000000003</t>
  </si>
  <si>
    <t>12821</t>
  </si>
  <si>
    <t>1323</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</si>
  <si>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</si>
  <si>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Theory, data availability, and method.</t>
  </si>
  <si>
    <t>Data availability: The choice of spatial units was influenced by the availability of detailed socio-economic data from Statistics Netherlands.
- Administrative boundary constraints: The study adhered to existing administrative divisions of Dutch neighbourhoods.
- Spatial accuracy: The use of neighbourhoods was influenced by the need for lower spatial accuracy compared to smaller units like street segments.
- Practical constraints: The study considered the homogeneity and size of neighbourhoods, which are expected to be well known to regular visitors.</t>
  </si>
  <si>
    <t>2013-2016</t>
  </si>
  <si>
    <t>Census → 2013, 2018</t>
  </si>
  <si>
    <t>"Census 2013 data... and census 2018 data" (p. 1010, 3299)</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</si>
  <si>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</si>
  <si>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theft of a car/motor/bicycle; other theft; Burglary; vandalism; Robbery; violence; drug trafficking; weapons trafficking</t>
  </si>
  <si>
    <t>Theft Of A Car/Motor/Bicycle; Other Theft; Burglary; Vandalism; Robbery; Violence; Drug Trafficking; Weapons Trafficking</t>
  </si>
  <si>
    <t>140</t>
  </si>
  <si>
    <t>1. Proximity to activity nodes (including visiting frequency), 2. Residential population density, 3. Employee density</t>
  </si>
  <si>
    <t>1. Population density; 2. Percentage of young adults</t>
  </si>
  <si>
    <t>1. Distance from offender home</t>
  </si>
  <si>
    <t>LimeSurvey; Google Maps; Google Places API</t>
  </si>
  <si>
    <t>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</si>
  <si>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The authors performed several robustness checks and alternative-specification analyses. They verified the stability of their results by re-estimating the models using alternative thresholds/cut-offs for the "visiting frequency" variable. They also conducted sensitivity tests by excluding specific cases (individual crime types) to ensure the findings were not driven by a single category of offense. Additionally, they performed explicit tests to confirm that the results were stable across different levels of geographic reporting accuracy.</t>
  </si>
  <si>
    <t>Future research should transition from aggregate neighborhood units to individual-level spatial measurements, specifically incorporating "routinely travelled paths" between nodes through methods like "continuous GPS-tracking."</t>
  </si>
  <si>
    <t>The Usefulness Of Past Crime Data As An Attractiveness Index For Residential Burglars</t>
  </si>
  <si>
    <t>Aiko Hanayama, | Shumpei Haginoya, Hiroki Kuraishi, Masakazu Kobayashi</t>
  </si>
  <si>
    <t>Japan</t>
  </si>
  <si>
    <t>Sendai City</t>
  </si>
  <si>
    <t>Sendai</t>
  </si>
  <si>
    <t>283.5</t>
  </si>
  <si>
    <t>0.25</t>
  </si>
  <si>
    <t>1134</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</si>
  <si>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</si>
  <si>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</si>
  <si>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smaller areas</t>
  </si>
  <si>
    <t>Solved cases data: 2007-2015
- Past crime data: 2004-2006
- Neighborhood characteristics: 2010</t>
  </si>
  <si>
    <t>2004–2015</t>
  </si>
  <si>
    <t>Census → 2016; LISA → 2011</t>
  </si>
  <si>
    <t>"2016 neighbourhood-level data" (p. 311, 3387); "obtained from 2011 LISA data" (p. 311, 3387)</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</si>
  <si>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</si>
  <si>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369</t>
  </si>
  <si>
    <t>1. Distance from offender's residence, 2. Number of residential units, 3. Proportion of single-family dwellings, 4. Proportion of foreigners (ethnic heterogeneity), 5. Proportion of newcomers (residential mobility), 6. Past crime data (number of burglaries or rate)</t>
  </si>
  <si>
    <t>1. Population density; 2. Percentage non-Western; 3. Percentage singles</t>
  </si>
  <si>
    <t>1. Retail businesses</t>
  </si>
  <si>
    <t>1. Distance to offender's home</t>
  </si>
  <si>
    <t>1. Past burglary data (3 years)</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</si>
  <si>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</si>
  <si>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t>Future research should expand the geographic scale by conducting tests in "other areas" (different cities and countries) and should utilize "small area" units to specifically examine the influence of road structures.</t>
  </si>
  <si>
    <t>Traveling Alone Or Together? Neighborhood Context On Individual And Group Juvenile And Adult Burglary Decisions</t>
  </si>
  <si>
    <t>Alyssa W Chamberlain, Lyndsay N Boggess, Taylor Fisher</t>
  </si>
  <si>
    <t>Block groups</t>
  </si>
  <si>
    <t>304</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</si>
  <si>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</si>
  <si>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Data is limited to a specific time period (2000-2012) and location (Tampa, Florida).
- Relies on arrest data, which may not reflect all burglaries due to low clearance rates.
- Excludes incidents with unknown or incorrect addresses and those outside city boundaries.
- Removes incidents with mixed adult and juvenile co-offenders.
- Uses block groups due to data availability, which may not perfectly capture neighborhood dynamics.
- Excludes block groups with missing Census data.</t>
  </si>
  <si>
    <t>January 2000 to September 2012</t>
  </si>
  <si>
    <t>"census data from 2000 and 2010." (p. 2084, 3436)</t>
  </si>
  <si>
    <t>1. Tampa Police Department arrest data (burglary arrests 2000–2012)2. US Census Bureau data (2000 and 2010 decennial census)</t>
  </si>
  <si>
    <t>4920</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</si>
  <si>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</si>
  <si>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t>1. Ethnic heterogeneity; 2. Percentage single-parent families; 3. Percentage unemployed</t>
  </si>
  <si>
    <t>1. Residential stability; 2. Percentage vacant housing</t>
  </si>
  <si>
    <t>1. Gini coefficient; 2. Disadvantage factor (latent)</t>
  </si>
  <si>
    <t>1. Distance from home to target; 2. Distance to city center</t>
  </si>
  <si>
    <t>ArcGIS 10.6, Stata</t>
  </si>
  <si>
    <t>The authors justify the use of census block groups as the spatial unit of analysis, noting they are the "smallest unit available where meaningful sociodemographic data are available". Although they address the non-independence of arrests within neighborhoods by clustering in their analysis and harmonize census boundaries to account for changes over time, the text does not explicitly or substantively discuss the Modifiable Areal Unit Problem (MAUP), aggregation bias, scale effects, zoning effects, the ecological fallacy, or spatial autocorrelation in relation to unit choice.</t>
  </si>
  <si>
    <t>The authors conducted an alternative-specification analysis by estimating ancillary models to determine if a specific component of their "concentrated disadvantage" index ("single-parent households") exerted an independent effect on target selection. By reporting that no significant differences were found when testing this variable separately, they provide an explicit test showing that their results were stable and consistent with the use of the collapsed factor score.</t>
  </si>
  <si>
    <t>Future research should adopt a dual spatial methodology that "simultaneously" incorporates both the "broader social environment" (structural characteristics) and the specific "availability of targets" within the neighborhood unit.</t>
  </si>
  <si>
    <t>Where Do Dealers Solicit Customers And Sell Them Drugs? A Micro-Level Multiple Method Study</t>
  </si>
  <si>
    <t>Wim Bernasco, Scott Jacques</t>
  </si>
  <si>
    <t>Amsterdam</t>
  </si>
  <si>
    <t>1</t>
  </si>
  <si>
    <t>103</t>
  </si>
  <si>
    <t>262</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</si>
  <si>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</si>
  <si>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Small sample size (50 dealers) limited statistical inference.
- Recruitment method biased towards mobile dealers selling to strangers, potentially excluding local network dealers.
- Study area selection based on practicality rather than representativeness.
- Street segments used as spatial units were too coarse and not stable over time.
- Reliance on self-report data may introduce biases or inaccuracies.
- Focus on downtown Amsterdam may not generalize to other areas or drug dealing environments.</t>
  </si>
  <si>
    <t>Time constraint: Observing each street segment took an average of 15 minutes.
- Resource limitation: Comprehensive observation of all street segments for a week was beyond their resources.
- Temporal disparity: Partial overlap between observation and interview periods may have introduced temporal disparities.
- Sample size limitation: Limited number of observations led to tentative conclusions and lack of statistical significance.</t>
  </si>
  <si>
    <t>10 × 10 m grids, or addresses</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</si>
  <si>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</si>
  <si>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April 2009 - May 2010</t>
  </si>
  <si>
    <t>2009–2010</t>
  </si>
  <si>
    <t>Observations → 2009; LISA → 2011</t>
  </si>
  <si>
    <t>"observations... between April 23, 2009 and May 28, 2009." (p. 387); "obtained from 2011 LISA data" (p. 311, 3387)</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</si>
  <si>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</si>
  <si>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Drug offenses</t>
  </si>
  <si>
    <t>Drug Offenses</t>
  </si>
  <si>
    <t>19 to 22</t>
  </si>
  <si>
    <t>multinomial logit model; bivariate conditional logit analyses</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</si>
  <si>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</si>
  <si>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1. Red Light District presence; 2. Tippelzone presence; 3. Capacity for sex work; 4. Number of windows/doors; 5. Window/door density; 6. Business establishments (count); 7. Business type diversity; 8. Day visitor inflow; 9. Night visitor inflow; 10. Visitor diversity; 11. Bicycle flow day; 12. Bicycle flow night; 13. Car flow day; 14. Car flow night; 15. Pedestrian flow day; 16. Pedestrian flow night; 17. Total people count day; 18. Total people count night; 19. Active natural surveillance day; 20. Active natural surveillance night; 21. Passive natural surveillance day; 22. Passive natural surveillance night; 23. Physical disorder; 24. Social disorder; 25. Commercial presence; 26. Entertainment/nightlife presence; 27. Tourism presence; 28. Red-light activity presence; 29. Drug trade presence; 30. Street prostitution presence; 31. Homeless presence; 32. Youth gathering presence; 33. Disorder index; 34. Crime generator index; 35. Crime attractor index; 36. Crime enabler index; 37. Overall crime facilitator score; 38. Street segment length</t>
  </si>
  <si>
    <t>Nvivo</t>
  </si>
  <si>
    <t>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</si>
  <si>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</si>
  <si>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Future research should utilize even smaller spatial units of analysis than street segments—specifically 10 × 10 m grids or specific addresses—and consider adopting a situational unit of analysis (or "setting") that incorporates both physical space and the dynamic presence of people and objects.</t>
  </si>
  <si>
    <t>Where Offenders Choose To Attack: A Discrete Choice Model Of Robberies In Chicago</t>
  </si>
  <si>
    <t>Wim Bernasco, Richard Block</t>
  </si>
  <si>
    <t>Census tract</t>
  </si>
  <si>
    <t>844</t>
  </si>
  <si>
    <t>3430</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</si>
  <si>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</si>
  <si>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</si>
  <si>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</si>
  <si>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Block groups or blocks were considered as alternative units but were not used due to practical limitations such as data availability and computational constraints.</t>
  </si>
  <si>
    <t>Census → 2000</t>
  </si>
  <si>
    <t>"U.S. Census Bureau... 2000 census tract data" (p. 106, 3557)</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</si>
  <si>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</si>
  <si>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</si>
  <si>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1. Percent Black; 2. Percent Latino; 3. Residential instability</t>
  </si>
  <si>
    <t>1. Concentrated disadvantage; 2. Immigrant concentration; 3. Bars; 4. Retail stores; 5. Public transit stops</t>
  </si>
  <si>
    <t>1. Distance to home; 2. Distance to gang territory centroid</t>
  </si>
  <si>
    <t>1. Racial composition interaction (offender race × neighborhood composition)</t>
  </si>
  <si>
    <t>The authors explicitly address the modifiable area unit problem (MAUP) by name. They argue that while smaller units might minimize "within-unit heterogeneity," the census tract was chosen due to the availability of the collective efficacy measure and computational limits. Based on their review of previous literature, they conclude that spatial findings in criminology are typically "fairly robust across geographic levels of aggregation".</t>
  </si>
  <si>
    <t>The authors conducted multiple forms of sensitivity and robustness analysis. First, they performed re-estimation using alternative parameter values by repeating all analyses with Manhattan distance to ensure the results were not sensitive to the specific distance metric used. Second, they employed robustness checks via alternative samples, using a 3,000-case training set for model development and a separate 6,000-case testing set for final verification (cross-validation). Third, they performed explicit tests showing results were stable by comparing estimates across different sample sizes (786 vs. 844 tracts) based on variable availability.</t>
  </si>
  <si>
    <t>Future research should utilize smaller, more refined units of spatial aggregation—specifically census block groups or blocks—and consider expanding the discrete spatial choice model into a spatiotemporal choice model.</t>
  </si>
  <si>
    <t>The authors explicitly identify the Modifiable Areal Unit Problem (MAUP) by name within their limitations section. They substantively discuss aggregation effects and how the choice of spatial unit (comparing four-digit to six-digit postal codes) relates to spatial interdependence (spatial autocorrelation</t>
  </si>
  <si>
    <t>The authors conducted a robustness check to ensure their results were not biased by "edge effects." They re-estimated the primary model using alternative distance thresholds (2, 5, and 10 km) to compare subsamples and explicitly confirmed that the results remained stable.</t>
  </si>
  <si>
    <t>A discrete spatial choice model of burglary target selection at the house-level</t>
  </si>
  <si>
    <t>A sentimental journey to crime: effects of residential history on crime location choice</t>
  </si>
  <si>
    <t>A time for a crime: temporal aspects of repeat offenders’ crime location choices</t>
  </si>
  <si>
    <t>Adolescent offenders’ current whereabouts predict locations of their future crimes</t>
  </si>
  <si>
    <t>Ambient population and surveillance cameras: the guardianship role in street robbers’ crime location choice</t>
  </si>
  <si>
    <t>Assessing the influence of prior on subsequent street robbery location choices: a case study in ZG city, China</t>
  </si>
  <si>
    <t>Awareness x Opportunity: Testing interactions between activity nodes and criminal opportunity in predicting crime location choice</t>
  </si>
  <si>
    <t>Biting once, twice: the influence of prior on subsequent crime location choice</t>
  </si>
  <si>
    <t>Burglar target selection: a cross-national comparison</t>
  </si>
  <si>
    <t>Burglars blocked by barriers? The impact of physical and social barriers on residential burglars’ target location choices in China</t>
  </si>
  <si>
    <t>Co-offenders' crime location choice: Do co-offending groups commit crimes in their shared awareness space?</t>
  </si>
  <si>
    <t>Co-offending and the choice of target areas in burglary</t>
  </si>
  <si>
    <t>Crime feeds on legal activities: daily mobility flows help to explain thieves’ target location choices</t>
  </si>
  <si>
    <t>Discrete choice analysis of spatial attack sites</t>
  </si>
  <si>
    <t>Divergent Decision-Making in Context: Neighborhood Context Shapes Effects of Physical Disorder and Spatial Knowledge on Burglars’ Location Choice</t>
  </si>
  <si>
    <t>Do juvenile, young adult, and adult offenders target different places?</t>
  </si>
  <si>
    <t>Do migrant and native robbers target different places?</t>
  </si>
  <si>
    <t>Do street robbery location choices vary over time of day or day of week?</t>
  </si>
  <si>
    <t>Effects of attractiveness, opportunity and accessibility to burglars on residential burglary rates of urban neighborhoods</t>
  </si>
  <si>
    <t>Effects of residential history on commercial robbers’ crime location choices</t>
  </si>
  <si>
    <t>Familiar locations and similar activities: examining the roles of reliability and relevance in crime location choice</t>
  </si>
  <si>
    <t>Formal evaluation of the impact of barriers and connectors on residential burglars' macro-level offending location choices</t>
  </si>
  <si>
    <t>Go where the money is: modeling street robbers’ location choices</t>
  </si>
  <si>
    <t>Graffiti writers choose locations that optimize exposure</t>
  </si>
  <si>
    <t>How do residential burglars select target areas? A new approach to the analysis of criminal location choice</t>
  </si>
  <si>
    <t>Investigating the effect of people on the street and streetscape physical environment on the location choice of street theft crime offenders using street view images and a discrete spatial choice model</t>
  </si>
  <si>
    <t>Learning where to offend: effects of past on future burglary locations</t>
  </si>
  <si>
    <t>Location choice of snatching offenders in Chennai city</t>
  </si>
  <si>
    <t>Location, location, location: effects of neighborhood and house attributes on burglars’ target selection</t>
  </si>
  <si>
    <t>Modeling micro-level crime location choice: application of the discrete choice framework to crime at places</t>
  </si>
  <si>
    <t>Modelling taste heterogeneity regarding offence location choices</t>
  </si>
  <si>
    <t>Modelling the spatial decision making of terrorists: The discrete choice approach</t>
  </si>
  <si>
    <t>Relationships Between Offenders’ Crime Locations and Different Prior Activity Locations as Recorded in Police Data</t>
  </si>
  <si>
    <t>Relative difference and burglary location: can ecological characteristics of a burglar’s home neighborhood predict offense location?</t>
  </si>
  <si>
    <t>Residential burglary target selection: An analysis at the property-level using Google Street View</t>
  </si>
  <si>
    <t>Right place, right time? Making crime pattern theory time-specific</t>
  </si>
  <si>
    <t>Role of the street network in burglars' spatial decision-making</t>
  </si>
  <si>
    <t>Situating crime pattern theory into the explanation of co-offending: Considering area-level convergence spaces</t>
  </si>
  <si>
    <t>Spatial analysis with preference specification of criminal site selection</t>
  </si>
  <si>
    <t>Target choice during extreme events: A discrete spatial choice model of the 2011 London riots</t>
  </si>
  <si>
    <t>Target Selection Models with Preference Variation Between Offenders</t>
  </si>
  <si>
    <t>The Importance of Importance Sampling: Exploring Methods of Sampling from Alternatives in Discrete Choice Models of Crime Location Choice</t>
  </si>
  <si>
    <t>The influence of activity space and visiting frequency on crime location choice: Findings from an online self-report survey</t>
  </si>
  <si>
    <t>The usefulness of past crime data as an attractiveness index for residential burglars</t>
  </si>
  <si>
    <t>Where do dealers solicit customers and sell them drugs? A micro-level multiple method study</t>
  </si>
  <si>
    <t>Where offenders choose to attack: A discrete choice model of robberies in Chicago</t>
  </si>
  <si>
    <t>Testing Ecological Theories Of Offender Spatial Decision Making Using a Discrete Choice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</si>
</sst>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2"/>
      <color theme="1"/>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xf numFmtId="0" fontId="1" fillId="0" borderId="0" xfId="0" applyFont="1" applyAlignment="1">
      <alignment horizontal="left"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S53"/>
  <sheetViews>
    <sheetView tabSelected="1" topLeftCell="AZ1" workbookViewId="0">
      <selection activeCell="BK8" sqref="BK8:BK46"/>
    </sheetView>
  </sheetViews>
  <sheetFormatPr defaultColWidth="11.42578125" defaultRowHeight="15" x14ac:dyDescent="0.25"/>
  <cols>
    <col min="62" max="63" width="20.5703125" customWidth="1"/>
    <col min="65" max="65" width="19.140625" style="2" customWidth="1"/>
    <col min="68" max="68" width="25.5703125" customWidth="1"/>
  </cols>
  <sheetData>
    <row r="1" spans="1:7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0</v>
      </c>
      <c r="BL1" t="s">
        <v>62</v>
      </c>
      <c r="BP1" t="s">
        <v>63</v>
      </c>
      <c r="BQ1" t="s">
        <v>64</v>
      </c>
      <c r="BR1" t="s">
        <v>65</v>
      </c>
      <c r="BS1" t="s">
        <v>66</v>
      </c>
    </row>
    <row r="2" spans="1:71" ht="15.75" hidden="1" x14ac:dyDescent="0.25">
      <c r="A2" t="s">
        <v>67</v>
      </c>
      <c r="B2" t="s">
        <v>68</v>
      </c>
      <c r="C2">
        <v>2015</v>
      </c>
      <c r="D2" t="s">
        <v>69</v>
      </c>
      <c r="E2" t="s">
        <v>70</v>
      </c>
      <c r="F2" t="s">
        <v>71</v>
      </c>
      <c r="G2" t="s">
        <v>72</v>
      </c>
      <c r="H2" t="s">
        <v>73</v>
      </c>
      <c r="I2">
        <v>3000</v>
      </c>
      <c r="J2" t="s">
        <v>74</v>
      </c>
      <c r="K2" t="s">
        <v>74</v>
      </c>
      <c r="L2" t="s">
        <v>75</v>
      </c>
      <c r="P2" t="s">
        <v>76</v>
      </c>
      <c r="Q2" t="s">
        <v>77</v>
      </c>
      <c r="R2" t="s">
        <v>78</v>
      </c>
      <c r="T2" t="s">
        <v>79</v>
      </c>
      <c r="U2" t="s">
        <v>80</v>
      </c>
      <c r="V2" t="s">
        <v>81</v>
      </c>
      <c r="W2" t="s">
        <v>78</v>
      </c>
      <c r="X2" t="s">
        <v>78</v>
      </c>
      <c r="Y2" t="s">
        <v>82</v>
      </c>
      <c r="Z2" t="s">
        <v>83</v>
      </c>
      <c r="AA2" t="s">
        <v>84</v>
      </c>
      <c r="AB2" t="s">
        <v>85</v>
      </c>
      <c r="AC2" t="s">
        <v>86</v>
      </c>
      <c r="AD2" t="s">
        <v>87</v>
      </c>
      <c r="AE2" t="s">
        <v>88</v>
      </c>
      <c r="AF2" t="s">
        <v>89</v>
      </c>
      <c r="AG2" t="s">
        <v>90</v>
      </c>
      <c r="AH2" t="s">
        <v>91</v>
      </c>
      <c r="AI2" t="s">
        <v>92</v>
      </c>
      <c r="AJ2" t="s">
        <v>93</v>
      </c>
      <c r="AK2">
        <v>2</v>
      </c>
      <c r="AL2" t="s">
        <v>94</v>
      </c>
      <c r="AM2" t="s">
        <v>95</v>
      </c>
      <c r="AN2" t="s">
        <v>94</v>
      </c>
      <c r="AO2" t="s">
        <v>96</v>
      </c>
      <c r="AP2" t="s">
        <v>97</v>
      </c>
      <c r="AQ2" t="s">
        <v>98</v>
      </c>
      <c r="AR2" t="s">
        <v>99</v>
      </c>
      <c r="AS2" t="s">
        <v>99</v>
      </c>
      <c r="AT2">
        <v>7</v>
      </c>
      <c r="AV2">
        <v>0</v>
      </c>
      <c r="AW2" t="s">
        <v>100</v>
      </c>
      <c r="AX2">
        <v>6</v>
      </c>
      <c r="AZ2">
        <v>0</v>
      </c>
      <c r="BA2" t="s">
        <v>101</v>
      </c>
      <c r="BB2">
        <v>1</v>
      </c>
      <c r="BD2">
        <v>0</v>
      </c>
      <c r="BF2">
        <v>0</v>
      </c>
      <c r="BG2">
        <v>1</v>
      </c>
      <c r="BH2" t="s">
        <v>102</v>
      </c>
      <c r="BI2" t="s">
        <v>84</v>
      </c>
      <c r="BJ2" t="s">
        <v>104</v>
      </c>
      <c r="BK2" t="s">
        <v>67</v>
      </c>
      <c r="BL2" t="s">
        <v>84</v>
      </c>
      <c r="BM2" s="3" t="s">
        <v>1265</v>
      </c>
      <c r="BN2" s="1" t="s">
        <v>716</v>
      </c>
      <c r="BO2" s="1" t="b">
        <f>BL2=BN2</f>
        <v>1</v>
      </c>
      <c r="BP2" t="s">
        <v>105</v>
      </c>
      <c r="BQ2" t="s">
        <v>106</v>
      </c>
    </row>
    <row r="3" spans="1:71" ht="15.75" hidden="1" x14ac:dyDescent="0.25">
      <c r="A3" t="s">
        <v>107</v>
      </c>
      <c r="B3" t="s">
        <v>108</v>
      </c>
      <c r="C3">
        <v>2010</v>
      </c>
      <c r="D3" t="s">
        <v>109</v>
      </c>
      <c r="E3" t="s">
        <v>110</v>
      </c>
      <c r="F3" t="s">
        <v>110</v>
      </c>
      <c r="G3" t="s">
        <v>111</v>
      </c>
      <c r="H3" t="s">
        <v>73</v>
      </c>
      <c r="I3">
        <v>420.32</v>
      </c>
      <c r="J3" t="s">
        <v>112</v>
      </c>
      <c r="K3" t="s">
        <v>112</v>
      </c>
      <c r="L3" t="s">
        <v>113</v>
      </c>
      <c r="M3">
        <v>2.96</v>
      </c>
      <c r="N3" t="s">
        <v>73</v>
      </c>
      <c r="O3">
        <v>2.96</v>
      </c>
      <c r="P3" t="s">
        <v>114</v>
      </c>
      <c r="Q3" t="s">
        <v>115</v>
      </c>
      <c r="R3" t="s">
        <v>78</v>
      </c>
      <c r="T3" t="s">
        <v>116</v>
      </c>
      <c r="U3" t="s">
        <v>80</v>
      </c>
      <c r="V3" t="s">
        <v>81</v>
      </c>
      <c r="W3" t="s">
        <v>78</v>
      </c>
      <c r="X3" t="s">
        <v>78</v>
      </c>
      <c r="Y3" t="s">
        <v>82</v>
      </c>
      <c r="Z3" t="s">
        <v>117</v>
      </c>
      <c r="AA3" t="s">
        <v>78</v>
      </c>
      <c r="AB3" t="s">
        <v>82</v>
      </c>
      <c r="AC3" t="s">
        <v>118</v>
      </c>
      <c r="AD3" t="s">
        <v>82</v>
      </c>
      <c r="AE3" t="s">
        <v>119</v>
      </c>
      <c r="AF3" t="s">
        <v>120</v>
      </c>
      <c r="AG3" t="s">
        <v>121</v>
      </c>
      <c r="AH3" t="s">
        <v>82</v>
      </c>
      <c r="AI3" t="s">
        <v>122</v>
      </c>
      <c r="AJ3" t="s">
        <v>123</v>
      </c>
      <c r="AK3">
        <v>3</v>
      </c>
      <c r="AL3" t="s">
        <v>124</v>
      </c>
      <c r="AM3" t="s">
        <v>125</v>
      </c>
      <c r="AN3" t="s">
        <v>126</v>
      </c>
      <c r="AO3" t="s">
        <v>127</v>
      </c>
      <c r="AP3" t="s">
        <v>128</v>
      </c>
      <c r="AQ3" t="s">
        <v>98</v>
      </c>
      <c r="AR3" t="s">
        <v>129</v>
      </c>
      <c r="AS3" t="s">
        <v>129</v>
      </c>
      <c r="AT3">
        <v>8</v>
      </c>
      <c r="AU3" t="s">
        <v>130</v>
      </c>
      <c r="AV3">
        <v>3</v>
      </c>
      <c r="AX3">
        <v>0</v>
      </c>
      <c r="AY3" t="s">
        <v>131</v>
      </c>
      <c r="AZ3">
        <v>1</v>
      </c>
      <c r="BA3" t="s">
        <v>132</v>
      </c>
      <c r="BB3">
        <v>2</v>
      </c>
      <c r="BC3" t="s">
        <v>133</v>
      </c>
      <c r="BD3">
        <v>2</v>
      </c>
      <c r="BF3">
        <v>0</v>
      </c>
      <c r="BG3">
        <v>2</v>
      </c>
      <c r="BH3" t="s">
        <v>134</v>
      </c>
      <c r="BI3" t="s">
        <v>78</v>
      </c>
      <c r="BJ3" t="s">
        <v>135</v>
      </c>
      <c r="BK3" t="s">
        <v>107</v>
      </c>
      <c r="BL3" t="s">
        <v>84</v>
      </c>
      <c r="BM3" s="3" t="s">
        <v>1266</v>
      </c>
      <c r="BN3" s="1" t="s">
        <v>716</v>
      </c>
      <c r="BO3" s="1" t="b">
        <f t="shared" ref="BO3:BO52" si="0">BL3=BN3</f>
        <v>1</v>
      </c>
      <c r="BP3" t="s">
        <v>136</v>
      </c>
      <c r="BQ3" t="s">
        <v>137</v>
      </c>
    </row>
    <row r="4" spans="1:71" ht="15.75" hidden="1" x14ac:dyDescent="0.25">
      <c r="A4" t="s">
        <v>138</v>
      </c>
      <c r="B4" t="s">
        <v>139</v>
      </c>
      <c r="C4">
        <v>2018</v>
      </c>
      <c r="D4" t="s">
        <v>109</v>
      </c>
      <c r="E4" t="s">
        <v>110</v>
      </c>
      <c r="F4" t="s">
        <v>110</v>
      </c>
      <c r="G4" t="s">
        <v>111</v>
      </c>
      <c r="H4" t="s">
        <v>73</v>
      </c>
      <c r="I4">
        <v>420.32</v>
      </c>
      <c r="J4" t="s">
        <v>112</v>
      </c>
      <c r="K4" t="s">
        <v>112</v>
      </c>
      <c r="L4" t="s">
        <v>113</v>
      </c>
      <c r="M4">
        <v>2.96</v>
      </c>
      <c r="N4" t="s">
        <v>73</v>
      </c>
      <c r="O4">
        <v>2.96</v>
      </c>
      <c r="P4" t="s">
        <v>140</v>
      </c>
      <c r="Q4" t="s">
        <v>141</v>
      </c>
      <c r="R4" t="s">
        <v>78</v>
      </c>
      <c r="T4" t="s">
        <v>142</v>
      </c>
      <c r="U4" t="s">
        <v>80</v>
      </c>
      <c r="V4" t="s">
        <v>81</v>
      </c>
      <c r="W4" t="s">
        <v>78</v>
      </c>
      <c r="X4" t="s">
        <v>84</v>
      </c>
      <c r="Y4" t="s">
        <v>143</v>
      </c>
      <c r="Z4" t="s">
        <v>144</v>
      </c>
      <c r="AA4" t="s">
        <v>84</v>
      </c>
      <c r="AB4" t="s">
        <v>145</v>
      </c>
      <c r="AC4" t="s">
        <v>118</v>
      </c>
      <c r="AD4" t="s">
        <v>82</v>
      </c>
      <c r="AE4" t="s">
        <v>119</v>
      </c>
      <c r="AF4" t="s">
        <v>146</v>
      </c>
      <c r="AG4" t="s">
        <v>147</v>
      </c>
      <c r="AH4" t="s">
        <v>148</v>
      </c>
      <c r="AI4" t="s">
        <v>149</v>
      </c>
      <c r="AJ4" t="s">
        <v>150</v>
      </c>
      <c r="AK4">
        <v>4</v>
      </c>
      <c r="AL4" t="s">
        <v>151</v>
      </c>
      <c r="AM4" t="s">
        <v>125</v>
      </c>
      <c r="AN4" t="s">
        <v>152</v>
      </c>
      <c r="AO4" t="s">
        <v>127</v>
      </c>
      <c r="AP4" t="s">
        <v>153</v>
      </c>
      <c r="AQ4" t="s">
        <v>154</v>
      </c>
      <c r="AR4" t="s">
        <v>155</v>
      </c>
      <c r="AS4" t="s">
        <v>156</v>
      </c>
      <c r="AT4">
        <v>13</v>
      </c>
      <c r="AU4" t="s">
        <v>157</v>
      </c>
      <c r="AV4">
        <v>3</v>
      </c>
      <c r="AW4" t="s">
        <v>158</v>
      </c>
      <c r="AX4">
        <v>7</v>
      </c>
      <c r="AZ4">
        <v>0</v>
      </c>
      <c r="BA4" t="s">
        <v>159</v>
      </c>
      <c r="BB4">
        <v>1</v>
      </c>
      <c r="BC4" t="s">
        <v>160</v>
      </c>
      <c r="BD4">
        <v>2</v>
      </c>
      <c r="BF4">
        <v>0</v>
      </c>
      <c r="BG4">
        <v>1</v>
      </c>
      <c r="BH4" t="s">
        <v>161</v>
      </c>
      <c r="BI4" t="s">
        <v>78</v>
      </c>
      <c r="BJ4" t="s">
        <v>162</v>
      </c>
      <c r="BK4" t="s">
        <v>138</v>
      </c>
      <c r="BL4" t="s">
        <v>84</v>
      </c>
      <c r="BM4" s="3" t="s">
        <v>1267</v>
      </c>
      <c r="BN4" s="1" t="s">
        <v>716</v>
      </c>
      <c r="BO4" s="1" t="b">
        <f t="shared" si="0"/>
        <v>1</v>
      </c>
      <c r="BP4" t="s">
        <v>103</v>
      </c>
      <c r="BQ4" t="s">
        <v>163</v>
      </c>
    </row>
    <row r="5" spans="1:71" ht="15.75" hidden="1" x14ac:dyDescent="0.25">
      <c r="A5" t="s">
        <v>164</v>
      </c>
      <c r="B5" t="s">
        <v>108</v>
      </c>
      <c r="C5">
        <v>2019</v>
      </c>
      <c r="D5" t="s">
        <v>109</v>
      </c>
      <c r="E5" t="s">
        <v>110</v>
      </c>
      <c r="F5" t="s">
        <v>110</v>
      </c>
      <c r="G5" t="s">
        <v>165</v>
      </c>
      <c r="H5" t="s">
        <v>73</v>
      </c>
      <c r="I5">
        <v>182.32</v>
      </c>
      <c r="J5" t="s">
        <v>166</v>
      </c>
      <c r="K5" t="s">
        <v>166</v>
      </c>
      <c r="L5" t="s">
        <v>167</v>
      </c>
      <c r="M5">
        <v>40000</v>
      </c>
      <c r="N5" t="s">
        <v>168</v>
      </c>
      <c r="O5">
        <v>0.04</v>
      </c>
      <c r="P5" t="s">
        <v>169</v>
      </c>
      <c r="Q5" t="s">
        <v>77</v>
      </c>
      <c r="R5" t="s">
        <v>78</v>
      </c>
      <c r="T5" t="s">
        <v>170</v>
      </c>
      <c r="U5" t="s">
        <v>171</v>
      </c>
      <c r="V5" t="s">
        <v>172</v>
      </c>
      <c r="W5" t="s">
        <v>78</v>
      </c>
      <c r="X5" t="s">
        <v>78</v>
      </c>
      <c r="Y5" t="s">
        <v>82</v>
      </c>
      <c r="Z5" t="s">
        <v>173</v>
      </c>
      <c r="AA5" t="s">
        <v>78</v>
      </c>
      <c r="AB5" t="s">
        <v>82</v>
      </c>
      <c r="AC5" t="s">
        <v>174</v>
      </c>
      <c r="AD5" t="s">
        <v>82</v>
      </c>
      <c r="AE5" t="s">
        <v>119</v>
      </c>
      <c r="AF5" t="s">
        <v>175</v>
      </c>
      <c r="AG5" t="s">
        <v>176</v>
      </c>
      <c r="AH5" t="s">
        <v>177</v>
      </c>
      <c r="AI5" t="s">
        <v>178</v>
      </c>
      <c r="AJ5" t="s">
        <v>179</v>
      </c>
      <c r="AK5">
        <v>4</v>
      </c>
      <c r="AL5" t="s">
        <v>180</v>
      </c>
      <c r="AM5" t="s">
        <v>125</v>
      </c>
      <c r="AN5" t="s">
        <v>181</v>
      </c>
      <c r="AO5" t="s">
        <v>127</v>
      </c>
      <c r="AP5" t="s">
        <v>182</v>
      </c>
      <c r="AQ5" t="s">
        <v>98</v>
      </c>
      <c r="AR5" t="s">
        <v>183</v>
      </c>
      <c r="AS5" t="s">
        <v>184</v>
      </c>
      <c r="AT5">
        <v>6</v>
      </c>
      <c r="AV5">
        <v>0</v>
      </c>
      <c r="AW5" t="s">
        <v>185</v>
      </c>
      <c r="AX5">
        <v>3</v>
      </c>
      <c r="AZ5">
        <v>0</v>
      </c>
      <c r="BA5" t="s">
        <v>186</v>
      </c>
      <c r="BB5">
        <v>1</v>
      </c>
      <c r="BC5" t="s">
        <v>187</v>
      </c>
      <c r="BD5">
        <v>2</v>
      </c>
      <c r="BF5">
        <v>0</v>
      </c>
      <c r="BG5">
        <v>1</v>
      </c>
      <c r="BH5" t="s">
        <v>188</v>
      </c>
      <c r="BI5" t="s">
        <v>78</v>
      </c>
      <c r="BJ5" t="s">
        <v>189</v>
      </c>
      <c r="BK5" t="s">
        <v>164</v>
      </c>
      <c r="BL5" t="s">
        <v>84</v>
      </c>
      <c r="BM5" s="3" t="s">
        <v>1268</v>
      </c>
      <c r="BN5" s="1" t="s">
        <v>716</v>
      </c>
      <c r="BO5" s="1" t="b">
        <f t="shared" si="0"/>
        <v>1</v>
      </c>
      <c r="BP5" t="s">
        <v>84</v>
      </c>
      <c r="BQ5" t="s">
        <v>190</v>
      </c>
    </row>
    <row r="6" spans="1:71" ht="15.75" hidden="1" x14ac:dyDescent="0.25">
      <c r="A6" t="s">
        <v>191</v>
      </c>
      <c r="B6" t="s">
        <v>192</v>
      </c>
      <c r="C6">
        <v>2021</v>
      </c>
      <c r="D6" t="s">
        <v>193</v>
      </c>
      <c r="E6" t="s">
        <v>194</v>
      </c>
      <c r="F6" t="s">
        <v>195</v>
      </c>
      <c r="G6" t="s">
        <v>196</v>
      </c>
      <c r="H6" t="s">
        <v>73</v>
      </c>
      <c r="I6">
        <v>3195.02</v>
      </c>
      <c r="J6" t="s">
        <v>197</v>
      </c>
      <c r="K6" t="s">
        <v>197</v>
      </c>
      <c r="L6" t="s">
        <v>198</v>
      </c>
      <c r="M6">
        <v>1.62</v>
      </c>
      <c r="N6" t="s">
        <v>73</v>
      </c>
      <c r="O6">
        <v>1.62</v>
      </c>
      <c r="P6" t="s">
        <v>199</v>
      </c>
      <c r="Q6" t="s">
        <v>200</v>
      </c>
      <c r="R6" t="s">
        <v>84</v>
      </c>
      <c r="S6" t="s">
        <v>201</v>
      </c>
      <c r="T6" t="s">
        <v>202</v>
      </c>
      <c r="U6" t="s">
        <v>80</v>
      </c>
      <c r="V6" t="s">
        <v>81</v>
      </c>
      <c r="W6" t="s">
        <v>78</v>
      </c>
      <c r="X6" t="s">
        <v>78</v>
      </c>
      <c r="Y6" t="s">
        <v>82</v>
      </c>
      <c r="Z6" t="s">
        <v>203</v>
      </c>
      <c r="AA6" t="s">
        <v>78</v>
      </c>
      <c r="AB6" t="s">
        <v>82</v>
      </c>
      <c r="AC6" t="s">
        <v>118</v>
      </c>
      <c r="AD6" t="s">
        <v>82</v>
      </c>
      <c r="AE6" t="s">
        <v>119</v>
      </c>
      <c r="AF6" t="s">
        <v>204</v>
      </c>
      <c r="AG6" t="s">
        <v>205</v>
      </c>
      <c r="AH6" t="s">
        <v>206</v>
      </c>
      <c r="AI6" t="s">
        <v>207</v>
      </c>
      <c r="AJ6" t="s">
        <v>208</v>
      </c>
      <c r="AK6">
        <v>4</v>
      </c>
      <c r="AL6" t="s">
        <v>209</v>
      </c>
      <c r="AM6" t="s">
        <v>95</v>
      </c>
      <c r="AN6" t="s">
        <v>209</v>
      </c>
      <c r="AO6" t="s">
        <v>210</v>
      </c>
      <c r="AP6" t="s">
        <v>211</v>
      </c>
      <c r="AQ6" t="s">
        <v>98</v>
      </c>
      <c r="AR6" t="s">
        <v>212</v>
      </c>
      <c r="AS6" t="s">
        <v>213</v>
      </c>
      <c r="AT6">
        <v>19</v>
      </c>
      <c r="AU6" t="s">
        <v>214</v>
      </c>
      <c r="AV6">
        <v>3</v>
      </c>
      <c r="AW6" t="s">
        <v>215</v>
      </c>
      <c r="AX6">
        <v>15</v>
      </c>
      <c r="AZ6">
        <v>0</v>
      </c>
      <c r="BA6" t="s">
        <v>216</v>
      </c>
      <c r="BB6">
        <v>1</v>
      </c>
      <c r="BD6">
        <v>0</v>
      </c>
      <c r="BF6">
        <v>0</v>
      </c>
      <c r="BG6">
        <v>1</v>
      </c>
      <c r="BH6" t="s">
        <v>217</v>
      </c>
      <c r="BI6" t="s">
        <v>78</v>
      </c>
      <c r="BJ6" t="s">
        <v>218</v>
      </c>
      <c r="BK6" t="s">
        <v>191</v>
      </c>
      <c r="BL6" t="s">
        <v>84</v>
      </c>
      <c r="BM6" s="3" t="s">
        <v>1269</v>
      </c>
      <c r="BN6" s="1" t="s">
        <v>716</v>
      </c>
      <c r="BO6" s="1" t="b">
        <f t="shared" si="0"/>
        <v>1</v>
      </c>
      <c r="BP6" t="s">
        <v>219</v>
      </c>
      <c r="BQ6" t="s">
        <v>220</v>
      </c>
    </row>
    <row r="7" spans="1:71" ht="15.75" hidden="1" x14ac:dyDescent="0.25">
      <c r="A7" t="s">
        <v>221</v>
      </c>
      <c r="B7" t="s">
        <v>222</v>
      </c>
      <c r="C7">
        <v>2018</v>
      </c>
      <c r="D7" t="s">
        <v>193</v>
      </c>
      <c r="E7" t="s">
        <v>194</v>
      </c>
      <c r="F7" t="s">
        <v>195</v>
      </c>
      <c r="G7" t="s">
        <v>223</v>
      </c>
      <c r="H7" t="s">
        <v>73</v>
      </c>
      <c r="I7">
        <v>3196.26</v>
      </c>
      <c r="J7" t="s">
        <v>197</v>
      </c>
      <c r="K7" t="s">
        <v>197</v>
      </c>
      <c r="L7" t="s">
        <v>198</v>
      </c>
      <c r="M7">
        <v>1.62</v>
      </c>
      <c r="N7" t="s">
        <v>73</v>
      </c>
      <c r="O7">
        <v>1.62</v>
      </c>
      <c r="P7" t="s">
        <v>224</v>
      </c>
      <c r="Q7" t="s">
        <v>225</v>
      </c>
      <c r="R7" t="s">
        <v>78</v>
      </c>
      <c r="S7" t="s">
        <v>226</v>
      </c>
      <c r="T7" t="s">
        <v>227</v>
      </c>
      <c r="U7" t="s">
        <v>171</v>
      </c>
      <c r="V7" t="s">
        <v>172</v>
      </c>
      <c r="W7" t="s">
        <v>78</v>
      </c>
      <c r="X7" t="s">
        <v>78</v>
      </c>
      <c r="Y7" t="s">
        <v>82</v>
      </c>
      <c r="Z7" t="s">
        <v>228</v>
      </c>
      <c r="AA7" t="s">
        <v>78</v>
      </c>
      <c r="AB7" t="s">
        <v>82</v>
      </c>
      <c r="AC7" t="s">
        <v>118</v>
      </c>
      <c r="AD7" t="s">
        <v>82</v>
      </c>
      <c r="AE7" t="s">
        <v>119</v>
      </c>
      <c r="AF7" t="s">
        <v>229</v>
      </c>
      <c r="AG7" t="s">
        <v>205</v>
      </c>
      <c r="AH7" t="s">
        <v>230</v>
      </c>
      <c r="AI7" t="s">
        <v>231</v>
      </c>
      <c r="AJ7" t="s">
        <v>232</v>
      </c>
      <c r="AK7">
        <v>2</v>
      </c>
      <c r="AL7" t="s">
        <v>209</v>
      </c>
      <c r="AM7" t="s">
        <v>95</v>
      </c>
      <c r="AN7" t="s">
        <v>209</v>
      </c>
      <c r="AO7" t="s">
        <v>210</v>
      </c>
      <c r="AP7" t="s">
        <v>233</v>
      </c>
      <c r="AQ7" t="s">
        <v>234</v>
      </c>
      <c r="AR7" t="s">
        <v>235</v>
      </c>
      <c r="AS7" t="s">
        <v>236</v>
      </c>
      <c r="AT7">
        <v>14</v>
      </c>
      <c r="AU7" t="s">
        <v>237</v>
      </c>
      <c r="AV7">
        <v>1</v>
      </c>
      <c r="AW7" t="s">
        <v>238</v>
      </c>
      <c r="AX7">
        <v>9</v>
      </c>
      <c r="AZ7">
        <v>0</v>
      </c>
      <c r="BA7" t="s">
        <v>239</v>
      </c>
      <c r="BB7">
        <v>2</v>
      </c>
      <c r="BC7" t="s">
        <v>240</v>
      </c>
      <c r="BD7">
        <v>1</v>
      </c>
      <c r="BE7" t="s">
        <v>241</v>
      </c>
      <c r="BF7">
        <v>1</v>
      </c>
      <c r="BG7">
        <v>2</v>
      </c>
      <c r="BH7" t="s">
        <v>134</v>
      </c>
      <c r="BI7" t="s">
        <v>78</v>
      </c>
      <c r="BJ7" t="s">
        <v>242</v>
      </c>
      <c r="BK7" t="s">
        <v>221</v>
      </c>
      <c r="BL7" t="s">
        <v>78</v>
      </c>
      <c r="BM7" s="3" t="s">
        <v>1270</v>
      </c>
      <c r="BN7" s="1" t="s">
        <v>498</v>
      </c>
      <c r="BO7" s="1" t="b">
        <f t="shared" si="0"/>
        <v>1</v>
      </c>
      <c r="BP7" t="s">
        <v>243</v>
      </c>
      <c r="BQ7" t="s">
        <v>244</v>
      </c>
    </row>
    <row r="8" spans="1:71" ht="15.75" x14ac:dyDescent="0.25">
      <c r="A8" t="s">
        <v>245</v>
      </c>
      <c r="B8" t="s">
        <v>246</v>
      </c>
      <c r="C8">
        <v>2018</v>
      </c>
      <c r="D8" t="s">
        <v>109</v>
      </c>
      <c r="E8" t="s">
        <v>247</v>
      </c>
      <c r="F8" t="s">
        <v>71</v>
      </c>
      <c r="G8" t="s">
        <v>248</v>
      </c>
      <c r="H8" t="s">
        <v>73</v>
      </c>
      <c r="I8">
        <v>127.68</v>
      </c>
      <c r="J8" t="s">
        <v>112</v>
      </c>
      <c r="K8" t="s">
        <v>112</v>
      </c>
      <c r="L8" t="s">
        <v>249</v>
      </c>
      <c r="M8">
        <v>1.68</v>
      </c>
      <c r="N8" t="s">
        <v>73</v>
      </c>
      <c r="O8">
        <v>1.68</v>
      </c>
      <c r="P8" t="s">
        <v>250</v>
      </c>
      <c r="Q8" t="s">
        <v>251</v>
      </c>
      <c r="R8" t="s">
        <v>78</v>
      </c>
      <c r="T8" t="s">
        <v>252</v>
      </c>
      <c r="U8" t="s">
        <v>171</v>
      </c>
      <c r="V8" t="s">
        <v>172</v>
      </c>
      <c r="W8" t="s">
        <v>78</v>
      </c>
      <c r="X8" t="s">
        <v>84</v>
      </c>
      <c r="Y8" t="s">
        <v>253</v>
      </c>
      <c r="Z8" t="s">
        <v>254</v>
      </c>
      <c r="AA8" t="s">
        <v>84</v>
      </c>
      <c r="AB8" t="s">
        <v>255</v>
      </c>
      <c r="AC8" t="s">
        <v>256</v>
      </c>
      <c r="AD8" t="s">
        <v>82</v>
      </c>
      <c r="AE8" t="s">
        <v>257</v>
      </c>
      <c r="AF8" t="s">
        <v>258</v>
      </c>
      <c r="AG8" t="s">
        <v>259</v>
      </c>
      <c r="AH8" t="s">
        <v>260</v>
      </c>
      <c r="AI8" t="s">
        <v>261</v>
      </c>
      <c r="AJ8" t="s">
        <v>262</v>
      </c>
      <c r="AK8">
        <v>5</v>
      </c>
      <c r="AL8" t="s">
        <v>263</v>
      </c>
      <c r="AM8" t="s">
        <v>125</v>
      </c>
      <c r="AN8" t="s">
        <v>127</v>
      </c>
      <c r="AO8" t="s">
        <v>127</v>
      </c>
      <c r="AP8" t="s">
        <v>264</v>
      </c>
      <c r="AQ8" t="s">
        <v>98</v>
      </c>
      <c r="AR8" t="s">
        <v>265</v>
      </c>
      <c r="AS8" t="s">
        <v>265</v>
      </c>
      <c r="AT8">
        <v>17</v>
      </c>
      <c r="AU8" t="s">
        <v>266</v>
      </c>
      <c r="AV8">
        <v>4</v>
      </c>
      <c r="AW8" t="s">
        <v>267</v>
      </c>
      <c r="AX8">
        <v>8</v>
      </c>
      <c r="AZ8">
        <v>0</v>
      </c>
      <c r="BA8" t="s">
        <v>268</v>
      </c>
      <c r="BB8">
        <v>1</v>
      </c>
      <c r="BC8" t="s">
        <v>269</v>
      </c>
      <c r="BD8">
        <v>4</v>
      </c>
      <c r="BF8">
        <v>0</v>
      </c>
      <c r="BG8">
        <v>1</v>
      </c>
      <c r="BH8" t="s">
        <v>134</v>
      </c>
      <c r="BI8" t="s">
        <v>78</v>
      </c>
      <c r="BJ8" t="s">
        <v>135</v>
      </c>
      <c r="BK8" t="s">
        <v>245</v>
      </c>
      <c r="BL8" t="s">
        <v>78</v>
      </c>
      <c r="BM8" s="3" t="s">
        <v>1271</v>
      </c>
      <c r="BN8" s="1" t="s">
        <v>716</v>
      </c>
      <c r="BO8" s="1" t="b">
        <f t="shared" si="0"/>
        <v>0</v>
      </c>
      <c r="BP8" t="s">
        <v>270</v>
      </c>
      <c r="BQ8" t="s">
        <v>271</v>
      </c>
    </row>
    <row r="9" spans="1:71" ht="15.75" hidden="1" x14ac:dyDescent="0.25">
      <c r="A9" t="s">
        <v>272</v>
      </c>
      <c r="B9" t="s">
        <v>273</v>
      </c>
      <c r="C9">
        <v>2015</v>
      </c>
      <c r="D9" t="s">
        <v>109</v>
      </c>
      <c r="E9" t="s">
        <v>110</v>
      </c>
      <c r="F9" t="s">
        <v>110</v>
      </c>
      <c r="G9" t="s">
        <v>274</v>
      </c>
      <c r="H9" t="s">
        <v>73</v>
      </c>
      <c r="I9">
        <v>420.32</v>
      </c>
      <c r="J9" t="s">
        <v>112</v>
      </c>
      <c r="K9" t="s">
        <v>112</v>
      </c>
      <c r="L9" t="s">
        <v>113</v>
      </c>
      <c r="M9">
        <v>2.96</v>
      </c>
      <c r="N9" t="s">
        <v>73</v>
      </c>
      <c r="O9">
        <v>2.96</v>
      </c>
      <c r="P9" t="s">
        <v>140</v>
      </c>
      <c r="Q9" t="s">
        <v>141</v>
      </c>
      <c r="R9" t="s">
        <v>78</v>
      </c>
      <c r="S9" t="s">
        <v>275</v>
      </c>
      <c r="T9" t="s">
        <v>276</v>
      </c>
      <c r="U9" t="s">
        <v>277</v>
      </c>
      <c r="V9" t="s">
        <v>278</v>
      </c>
      <c r="W9" t="s">
        <v>78</v>
      </c>
      <c r="X9" t="s">
        <v>78</v>
      </c>
      <c r="Y9" t="s">
        <v>82</v>
      </c>
      <c r="Z9" t="s">
        <v>279</v>
      </c>
      <c r="AA9" t="s">
        <v>78</v>
      </c>
      <c r="AB9" t="s">
        <v>82</v>
      </c>
      <c r="AC9" t="s">
        <v>280</v>
      </c>
      <c r="AD9" t="s">
        <v>82</v>
      </c>
      <c r="AE9" t="s">
        <v>281</v>
      </c>
      <c r="AF9" t="s">
        <v>258</v>
      </c>
      <c r="AG9" t="s">
        <v>147</v>
      </c>
      <c r="AH9" t="s">
        <v>148</v>
      </c>
      <c r="AI9" t="s">
        <v>282</v>
      </c>
      <c r="AJ9" t="s">
        <v>283</v>
      </c>
      <c r="AK9">
        <v>4</v>
      </c>
      <c r="AL9" t="s">
        <v>284</v>
      </c>
      <c r="AM9" t="s">
        <v>125</v>
      </c>
      <c r="AN9" t="s">
        <v>285</v>
      </c>
      <c r="AO9" t="s">
        <v>127</v>
      </c>
      <c r="AP9" t="s">
        <v>153</v>
      </c>
      <c r="AQ9" t="s">
        <v>98</v>
      </c>
      <c r="AR9" t="s">
        <v>286</v>
      </c>
      <c r="AS9" t="s">
        <v>286</v>
      </c>
      <c r="AT9">
        <v>16</v>
      </c>
      <c r="AU9" t="s">
        <v>287</v>
      </c>
      <c r="AV9">
        <v>3</v>
      </c>
      <c r="AW9" t="s">
        <v>288</v>
      </c>
      <c r="AX9">
        <v>7</v>
      </c>
      <c r="AZ9">
        <v>0</v>
      </c>
      <c r="BA9" t="s">
        <v>289</v>
      </c>
      <c r="BB9">
        <v>2</v>
      </c>
      <c r="BC9" t="s">
        <v>290</v>
      </c>
      <c r="BD9">
        <v>4</v>
      </c>
      <c r="BF9">
        <v>0</v>
      </c>
      <c r="BG9">
        <v>2</v>
      </c>
      <c r="BH9" t="s">
        <v>134</v>
      </c>
      <c r="BI9" t="s">
        <v>84</v>
      </c>
      <c r="BJ9" t="s">
        <v>1263</v>
      </c>
      <c r="BK9" t="s">
        <v>272</v>
      </c>
      <c r="BL9" t="s">
        <v>84</v>
      </c>
      <c r="BM9" s="3" t="s">
        <v>1272</v>
      </c>
      <c r="BN9" s="1" t="s">
        <v>716</v>
      </c>
      <c r="BO9" s="1" t="b">
        <f t="shared" si="0"/>
        <v>1</v>
      </c>
      <c r="BP9" t="s">
        <v>1264</v>
      </c>
      <c r="BQ9" t="s">
        <v>291</v>
      </c>
    </row>
    <row r="10" spans="1:71" ht="15.75" hidden="1" x14ac:dyDescent="0.25">
      <c r="A10" t="s">
        <v>292</v>
      </c>
      <c r="B10" t="s">
        <v>293</v>
      </c>
      <c r="C10">
        <v>2015</v>
      </c>
      <c r="D10" t="s">
        <v>109</v>
      </c>
      <c r="E10" t="s">
        <v>110</v>
      </c>
      <c r="F10" t="s">
        <v>110</v>
      </c>
      <c r="G10" t="s">
        <v>294</v>
      </c>
      <c r="H10" t="s">
        <v>73</v>
      </c>
      <c r="I10">
        <v>58</v>
      </c>
      <c r="J10" t="s">
        <v>295</v>
      </c>
      <c r="K10" t="s">
        <v>296</v>
      </c>
      <c r="L10" t="s">
        <v>297</v>
      </c>
      <c r="M10">
        <v>0.65</v>
      </c>
      <c r="N10" t="s">
        <v>73</v>
      </c>
      <c r="O10">
        <v>0.65</v>
      </c>
      <c r="P10" t="s">
        <v>298</v>
      </c>
      <c r="Q10" t="s">
        <v>299</v>
      </c>
      <c r="R10" t="s">
        <v>78</v>
      </c>
      <c r="T10" t="s">
        <v>300</v>
      </c>
      <c r="U10" t="s">
        <v>301</v>
      </c>
      <c r="V10" t="s">
        <v>302</v>
      </c>
      <c r="W10" t="s">
        <v>78</v>
      </c>
      <c r="X10" t="s">
        <v>78</v>
      </c>
      <c r="Y10" t="s">
        <v>82</v>
      </c>
      <c r="Z10" t="s">
        <v>303</v>
      </c>
      <c r="AA10" t="s">
        <v>78</v>
      </c>
      <c r="AB10" t="s">
        <v>82</v>
      </c>
      <c r="AC10" t="s">
        <v>118</v>
      </c>
      <c r="AD10" t="s">
        <v>82</v>
      </c>
      <c r="AE10" t="s">
        <v>119</v>
      </c>
      <c r="AF10" t="s">
        <v>304</v>
      </c>
      <c r="AG10" t="s">
        <v>305</v>
      </c>
      <c r="AH10" t="s">
        <v>306</v>
      </c>
      <c r="AI10" t="s">
        <v>307</v>
      </c>
      <c r="AJ10" t="s">
        <v>308</v>
      </c>
      <c r="AK10">
        <v>2</v>
      </c>
      <c r="AL10" t="s">
        <v>94</v>
      </c>
      <c r="AM10" t="s">
        <v>95</v>
      </c>
      <c r="AN10" t="s">
        <v>94</v>
      </c>
      <c r="AO10" t="s">
        <v>96</v>
      </c>
      <c r="AP10" t="s">
        <v>309</v>
      </c>
      <c r="AQ10" t="s">
        <v>98</v>
      </c>
      <c r="AR10" t="s">
        <v>310</v>
      </c>
      <c r="AS10" t="s">
        <v>310</v>
      </c>
      <c r="AT10">
        <v>6</v>
      </c>
      <c r="AU10" t="s">
        <v>311</v>
      </c>
      <c r="AV10">
        <v>2</v>
      </c>
      <c r="AW10" t="s">
        <v>312</v>
      </c>
      <c r="AX10">
        <v>1</v>
      </c>
      <c r="AY10" t="s">
        <v>313</v>
      </c>
      <c r="AZ10">
        <v>1</v>
      </c>
      <c r="BA10" t="s">
        <v>314</v>
      </c>
      <c r="BB10">
        <v>2</v>
      </c>
      <c r="BD10">
        <v>0</v>
      </c>
      <c r="BF10">
        <v>0</v>
      </c>
      <c r="BG10">
        <v>2</v>
      </c>
      <c r="BH10" t="s">
        <v>134</v>
      </c>
      <c r="BI10" t="s">
        <v>78</v>
      </c>
      <c r="BJ10" t="s">
        <v>315</v>
      </c>
      <c r="BK10" t="s">
        <v>292</v>
      </c>
      <c r="BL10" t="s">
        <v>84</v>
      </c>
      <c r="BM10" s="3" t="s">
        <v>1273</v>
      </c>
      <c r="BN10" s="1" t="s">
        <v>716</v>
      </c>
      <c r="BO10" s="1" t="b">
        <f t="shared" si="0"/>
        <v>1</v>
      </c>
      <c r="BP10" t="s">
        <v>316</v>
      </c>
      <c r="BQ10" t="s">
        <v>317</v>
      </c>
    </row>
    <row r="11" spans="1:71" ht="15.75" hidden="1" x14ac:dyDescent="0.25">
      <c r="A11" t="s">
        <v>318</v>
      </c>
      <c r="B11" t="s">
        <v>293</v>
      </c>
      <c r="C11">
        <v>2015</v>
      </c>
      <c r="D11" t="s">
        <v>319</v>
      </c>
      <c r="E11" t="s">
        <v>320</v>
      </c>
      <c r="F11" t="s">
        <v>320</v>
      </c>
      <c r="G11" t="s">
        <v>321</v>
      </c>
      <c r="H11" t="s">
        <v>73</v>
      </c>
      <c r="I11">
        <v>267</v>
      </c>
      <c r="J11" t="s">
        <v>322</v>
      </c>
      <c r="K11" t="s">
        <v>322</v>
      </c>
      <c r="L11" t="s">
        <v>323</v>
      </c>
      <c r="M11">
        <v>2.04</v>
      </c>
      <c r="N11" t="s">
        <v>73</v>
      </c>
      <c r="O11">
        <v>2.04</v>
      </c>
      <c r="P11" t="s">
        <v>324</v>
      </c>
      <c r="Q11" t="s">
        <v>325</v>
      </c>
      <c r="R11" t="s">
        <v>78</v>
      </c>
      <c r="T11" t="s">
        <v>300</v>
      </c>
      <c r="U11" t="s">
        <v>301</v>
      </c>
      <c r="V11" t="s">
        <v>302</v>
      </c>
      <c r="W11" t="s">
        <v>78</v>
      </c>
      <c r="X11" t="s">
        <v>78</v>
      </c>
      <c r="Y11" t="s">
        <v>82</v>
      </c>
      <c r="Z11" t="s">
        <v>303</v>
      </c>
      <c r="AA11" t="s">
        <v>78</v>
      </c>
      <c r="AB11" t="s">
        <v>82</v>
      </c>
      <c r="AC11" t="s">
        <v>118</v>
      </c>
      <c r="AD11" t="s">
        <v>82</v>
      </c>
      <c r="AE11" t="s">
        <v>119</v>
      </c>
      <c r="AF11" t="s">
        <v>326</v>
      </c>
      <c r="AG11" t="s">
        <v>326</v>
      </c>
      <c r="AH11" t="s">
        <v>306</v>
      </c>
      <c r="AI11" t="s">
        <v>307</v>
      </c>
      <c r="AJ11" t="s">
        <v>327</v>
      </c>
      <c r="AK11">
        <v>3</v>
      </c>
      <c r="AL11" t="s">
        <v>94</v>
      </c>
      <c r="AM11" t="s">
        <v>95</v>
      </c>
      <c r="AN11" t="s">
        <v>94</v>
      </c>
      <c r="AO11" t="s">
        <v>96</v>
      </c>
      <c r="AP11" t="s">
        <v>328</v>
      </c>
      <c r="AQ11" t="s">
        <v>98</v>
      </c>
      <c r="AR11" t="s">
        <v>310</v>
      </c>
      <c r="AS11" t="s">
        <v>310</v>
      </c>
      <c r="AT11">
        <v>6</v>
      </c>
      <c r="AU11" t="s">
        <v>311</v>
      </c>
      <c r="AV11">
        <v>2</v>
      </c>
      <c r="AW11" t="s">
        <v>312</v>
      </c>
      <c r="AX11">
        <v>1</v>
      </c>
      <c r="AY11" t="s">
        <v>313</v>
      </c>
      <c r="AZ11">
        <v>1</v>
      </c>
      <c r="BA11" t="s">
        <v>314</v>
      </c>
      <c r="BB11">
        <v>2</v>
      </c>
      <c r="BD11">
        <v>0</v>
      </c>
      <c r="BF11">
        <v>0</v>
      </c>
      <c r="BG11">
        <v>2</v>
      </c>
      <c r="BH11" t="s">
        <v>134</v>
      </c>
      <c r="BI11" t="s">
        <v>78</v>
      </c>
      <c r="BJ11" t="s">
        <v>315</v>
      </c>
      <c r="BK11" t="s">
        <v>318</v>
      </c>
      <c r="BL11" t="s">
        <v>84</v>
      </c>
      <c r="BM11" s="3" t="s">
        <v>1273</v>
      </c>
      <c r="BN11" s="1" t="s">
        <v>716</v>
      </c>
      <c r="BO11" s="1" t="b">
        <f t="shared" si="0"/>
        <v>1</v>
      </c>
      <c r="BP11" t="s">
        <v>316</v>
      </c>
      <c r="BQ11" t="s">
        <v>317</v>
      </c>
    </row>
    <row r="12" spans="1:71" ht="15.75" hidden="1" x14ac:dyDescent="0.25">
      <c r="A12" t="s">
        <v>329</v>
      </c>
      <c r="B12" t="s">
        <v>293</v>
      </c>
      <c r="C12">
        <v>2015</v>
      </c>
      <c r="D12" t="s">
        <v>330</v>
      </c>
      <c r="E12" t="s">
        <v>331</v>
      </c>
      <c r="F12" t="s">
        <v>331</v>
      </c>
      <c r="G12" t="s">
        <v>332</v>
      </c>
      <c r="H12" t="s">
        <v>73</v>
      </c>
      <c r="I12">
        <v>1340</v>
      </c>
      <c r="J12" t="s">
        <v>333</v>
      </c>
      <c r="K12" t="s">
        <v>333</v>
      </c>
      <c r="L12" t="s">
        <v>334</v>
      </c>
      <c r="M12">
        <v>8.48</v>
      </c>
      <c r="N12" t="s">
        <v>73</v>
      </c>
      <c r="O12">
        <v>8.48</v>
      </c>
      <c r="P12" t="s">
        <v>335</v>
      </c>
      <c r="Q12" t="s">
        <v>336</v>
      </c>
      <c r="R12" t="s">
        <v>78</v>
      </c>
      <c r="T12" t="s">
        <v>300</v>
      </c>
      <c r="U12" t="s">
        <v>301</v>
      </c>
      <c r="V12" t="s">
        <v>302</v>
      </c>
      <c r="W12" t="s">
        <v>78</v>
      </c>
      <c r="X12" t="s">
        <v>78</v>
      </c>
      <c r="Y12" t="s">
        <v>82</v>
      </c>
      <c r="Z12" t="s">
        <v>303</v>
      </c>
      <c r="AA12" t="s">
        <v>78</v>
      </c>
      <c r="AB12" t="s">
        <v>82</v>
      </c>
      <c r="AC12" t="s">
        <v>118</v>
      </c>
      <c r="AD12" t="s">
        <v>82</v>
      </c>
      <c r="AE12" t="s">
        <v>119</v>
      </c>
      <c r="AF12" t="s">
        <v>337</v>
      </c>
      <c r="AG12" t="s">
        <v>337</v>
      </c>
      <c r="AH12" t="s">
        <v>306</v>
      </c>
      <c r="AI12" t="s">
        <v>307</v>
      </c>
      <c r="AJ12" t="s">
        <v>338</v>
      </c>
      <c r="AK12">
        <v>2</v>
      </c>
      <c r="AL12" t="s">
        <v>94</v>
      </c>
      <c r="AM12" t="s">
        <v>95</v>
      </c>
      <c r="AN12" t="s">
        <v>94</v>
      </c>
      <c r="AO12" t="s">
        <v>96</v>
      </c>
      <c r="AP12" t="s">
        <v>339</v>
      </c>
      <c r="AQ12" t="s">
        <v>98</v>
      </c>
      <c r="AR12" t="s">
        <v>310</v>
      </c>
      <c r="AS12" t="s">
        <v>310</v>
      </c>
      <c r="AT12">
        <v>6</v>
      </c>
      <c r="AU12" t="s">
        <v>311</v>
      </c>
      <c r="AV12">
        <v>2</v>
      </c>
      <c r="AW12" t="s">
        <v>312</v>
      </c>
      <c r="AX12">
        <v>1</v>
      </c>
      <c r="AY12" t="s">
        <v>313</v>
      </c>
      <c r="AZ12">
        <v>1</v>
      </c>
      <c r="BA12" t="s">
        <v>314</v>
      </c>
      <c r="BB12">
        <v>2</v>
      </c>
      <c r="BD12">
        <v>0</v>
      </c>
      <c r="BF12">
        <v>0</v>
      </c>
      <c r="BG12">
        <v>2</v>
      </c>
      <c r="BH12" t="s">
        <v>134</v>
      </c>
      <c r="BI12" t="s">
        <v>78</v>
      </c>
      <c r="BJ12" t="s">
        <v>315</v>
      </c>
      <c r="BK12" t="s">
        <v>329</v>
      </c>
      <c r="BL12" t="s">
        <v>84</v>
      </c>
      <c r="BM12" s="3" t="s">
        <v>1273</v>
      </c>
      <c r="BN12" s="1" t="s">
        <v>716</v>
      </c>
      <c r="BO12" s="1" t="b">
        <f t="shared" si="0"/>
        <v>1</v>
      </c>
      <c r="BP12" t="s">
        <v>316</v>
      </c>
      <c r="BQ12" t="s">
        <v>317</v>
      </c>
    </row>
    <row r="13" spans="1:71" ht="15.75" hidden="1" x14ac:dyDescent="0.25">
      <c r="A13" t="s">
        <v>340</v>
      </c>
      <c r="B13" t="s">
        <v>341</v>
      </c>
      <c r="C13">
        <v>2021</v>
      </c>
      <c r="D13" t="s">
        <v>193</v>
      </c>
      <c r="E13" t="s">
        <v>342</v>
      </c>
      <c r="F13" t="s">
        <v>195</v>
      </c>
      <c r="G13" t="s">
        <v>343</v>
      </c>
      <c r="H13" t="s">
        <v>73</v>
      </c>
      <c r="I13">
        <v>7241.82</v>
      </c>
      <c r="J13" t="s">
        <v>197</v>
      </c>
      <c r="K13" t="s">
        <v>197</v>
      </c>
      <c r="L13" t="s">
        <v>344</v>
      </c>
      <c r="M13">
        <v>2.74</v>
      </c>
      <c r="N13" t="s">
        <v>73</v>
      </c>
      <c r="O13">
        <v>2.74</v>
      </c>
      <c r="P13" t="s">
        <v>345</v>
      </c>
      <c r="Q13" t="s">
        <v>346</v>
      </c>
      <c r="R13" t="s">
        <v>78</v>
      </c>
      <c r="T13" t="s">
        <v>347</v>
      </c>
      <c r="U13" t="s">
        <v>348</v>
      </c>
      <c r="V13" t="s">
        <v>349</v>
      </c>
      <c r="W13" t="s">
        <v>78</v>
      </c>
      <c r="X13" t="s">
        <v>78</v>
      </c>
      <c r="Y13" t="s">
        <v>82</v>
      </c>
      <c r="Z13" t="s">
        <v>350</v>
      </c>
      <c r="AA13" t="s">
        <v>84</v>
      </c>
      <c r="AB13" t="s">
        <v>255</v>
      </c>
      <c r="AC13" t="s">
        <v>351</v>
      </c>
      <c r="AD13" t="s">
        <v>82</v>
      </c>
      <c r="AE13" t="s">
        <v>119</v>
      </c>
      <c r="AF13" t="s">
        <v>352</v>
      </c>
      <c r="AG13" t="s">
        <v>205</v>
      </c>
      <c r="AH13" t="s">
        <v>353</v>
      </c>
      <c r="AI13" t="s">
        <v>354</v>
      </c>
      <c r="AJ13" t="s">
        <v>355</v>
      </c>
      <c r="AK13">
        <v>3</v>
      </c>
      <c r="AL13" t="s">
        <v>94</v>
      </c>
      <c r="AM13" t="s">
        <v>95</v>
      </c>
      <c r="AN13" t="s">
        <v>94</v>
      </c>
      <c r="AO13" t="s">
        <v>96</v>
      </c>
      <c r="AP13" t="s">
        <v>356</v>
      </c>
      <c r="AQ13" t="s">
        <v>98</v>
      </c>
      <c r="AR13" t="s">
        <v>357</v>
      </c>
      <c r="AS13" t="s">
        <v>358</v>
      </c>
      <c r="AT13">
        <v>9</v>
      </c>
      <c r="AU13" t="s">
        <v>359</v>
      </c>
      <c r="AV13">
        <v>2</v>
      </c>
      <c r="AW13" t="s">
        <v>360</v>
      </c>
      <c r="AX13">
        <v>5</v>
      </c>
      <c r="AY13" t="s">
        <v>361</v>
      </c>
      <c r="AZ13">
        <v>1</v>
      </c>
      <c r="BA13" t="s">
        <v>362</v>
      </c>
      <c r="BB13">
        <v>1</v>
      </c>
      <c r="BD13">
        <v>0</v>
      </c>
      <c r="BF13">
        <v>0</v>
      </c>
      <c r="BG13">
        <v>1</v>
      </c>
      <c r="BH13" t="s">
        <v>363</v>
      </c>
      <c r="BI13" t="s">
        <v>78</v>
      </c>
      <c r="BJ13" t="s">
        <v>364</v>
      </c>
      <c r="BK13" t="s">
        <v>340</v>
      </c>
      <c r="BL13" t="s">
        <v>78</v>
      </c>
      <c r="BM13" s="3" t="s">
        <v>1274</v>
      </c>
      <c r="BN13" s="1" t="s">
        <v>498</v>
      </c>
      <c r="BO13" s="1" t="b">
        <f t="shared" si="0"/>
        <v>1</v>
      </c>
      <c r="BP13" t="s">
        <v>365</v>
      </c>
      <c r="BQ13" t="s">
        <v>366</v>
      </c>
    </row>
    <row r="14" spans="1:71" ht="15.75" hidden="1" x14ac:dyDescent="0.25">
      <c r="A14" t="s">
        <v>367</v>
      </c>
      <c r="B14" t="s">
        <v>368</v>
      </c>
      <c r="C14">
        <v>2018</v>
      </c>
      <c r="D14" t="s">
        <v>109</v>
      </c>
      <c r="E14" t="s">
        <v>110</v>
      </c>
      <c r="F14" t="s">
        <v>110</v>
      </c>
      <c r="G14" t="s">
        <v>111</v>
      </c>
      <c r="H14" t="s">
        <v>73</v>
      </c>
      <c r="I14">
        <v>420.32</v>
      </c>
      <c r="J14" t="s">
        <v>112</v>
      </c>
      <c r="K14" t="s">
        <v>112</v>
      </c>
      <c r="L14" t="s">
        <v>113</v>
      </c>
      <c r="M14">
        <v>2.96</v>
      </c>
      <c r="N14" t="s">
        <v>73</v>
      </c>
      <c r="O14">
        <v>2.96</v>
      </c>
      <c r="P14" t="s">
        <v>140</v>
      </c>
      <c r="Q14" t="s">
        <v>141</v>
      </c>
      <c r="R14" t="s">
        <v>78</v>
      </c>
      <c r="S14" t="s">
        <v>275</v>
      </c>
      <c r="T14" t="s">
        <v>369</v>
      </c>
      <c r="U14" t="s">
        <v>370</v>
      </c>
      <c r="V14" t="s">
        <v>371</v>
      </c>
      <c r="W14" t="s">
        <v>78</v>
      </c>
      <c r="X14" t="s">
        <v>78</v>
      </c>
      <c r="Y14" t="s">
        <v>82</v>
      </c>
      <c r="Z14" t="s">
        <v>372</v>
      </c>
      <c r="AA14" t="s">
        <v>78</v>
      </c>
      <c r="AB14" t="s">
        <v>82</v>
      </c>
      <c r="AC14" t="s">
        <v>373</v>
      </c>
      <c r="AD14" t="s">
        <v>82</v>
      </c>
      <c r="AE14" t="s">
        <v>374</v>
      </c>
      <c r="AF14" t="s">
        <v>258</v>
      </c>
      <c r="AG14" t="s">
        <v>147</v>
      </c>
      <c r="AH14" t="s">
        <v>375</v>
      </c>
      <c r="AI14" t="s">
        <v>376</v>
      </c>
      <c r="AJ14" t="s">
        <v>377</v>
      </c>
      <c r="AK14">
        <v>5</v>
      </c>
      <c r="AL14" t="s">
        <v>378</v>
      </c>
      <c r="AM14" t="s">
        <v>125</v>
      </c>
      <c r="AN14" t="s">
        <v>379</v>
      </c>
      <c r="AO14" t="s">
        <v>127</v>
      </c>
      <c r="AP14" t="s">
        <v>380</v>
      </c>
      <c r="AQ14" t="s">
        <v>98</v>
      </c>
      <c r="AR14" t="s">
        <v>381</v>
      </c>
      <c r="AS14" t="s">
        <v>381</v>
      </c>
      <c r="AT14">
        <v>13</v>
      </c>
      <c r="AU14" t="s">
        <v>382</v>
      </c>
      <c r="AV14">
        <v>3</v>
      </c>
      <c r="AW14" t="s">
        <v>383</v>
      </c>
      <c r="AX14">
        <v>7</v>
      </c>
      <c r="AZ14">
        <v>0</v>
      </c>
      <c r="BB14">
        <v>0</v>
      </c>
      <c r="BC14" t="s">
        <v>384</v>
      </c>
      <c r="BD14">
        <v>3</v>
      </c>
      <c r="BF14">
        <v>0</v>
      </c>
      <c r="BG14">
        <v>0</v>
      </c>
      <c r="BH14" t="s">
        <v>385</v>
      </c>
      <c r="BI14" t="s">
        <v>84</v>
      </c>
      <c r="BJ14" t="s">
        <v>386</v>
      </c>
      <c r="BK14" t="s">
        <v>367</v>
      </c>
      <c r="BL14" t="s">
        <v>84</v>
      </c>
      <c r="BM14" s="3" t="s">
        <v>1275</v>
      </c>
      <c r="BN14" s="1" t="s">
        <v>716</v>
      </c>
      <c r="BO14" s="1" t="b">
        <f t="shared" si="0"/>
        <v>1</v>
      </c>
      <c r="BP14" t="s">
        <v>387</v>
      </c>
      <c r="BQ14" t="s">
        <v>388</v>
      </c>
    </row>
    <row r="15" spans="1:71" ht="15.75" x14ac:dyDescent="0.25">
      <c r="A15" t="s">
        <v>389</v>
      </c>
      <c r="B15" t="s">
        <v>108</v>
      </c>
      <c r="C15">
        <v>2006</v>
      </c>
      <c r="D15" t="s">
        <v>109</v>
      </c>
      <c r="E15" t="s">
        <v>110</v>
      </c>
      <c r="F15" t="s">
        <v>110</v>
      </c>
      <c r="G15" t="s">
        <v>390</v>
      </c>
      <c r="H15" t="s">
        <v>73</v>
      </c>
      <c r="I15">
        <v>57.85</v>
      </c>
      <c r="J15" t="s">
        <v>391</v>
      </c>
      <c r="K15" t="s">
        <v>296</v>
      </c>
      <c r="L15" t="s">
        <v>297</v>
      </c>
      <c r="M15">
        <v>0.65</v>
      </c>
      <c r="N15" t="s">
        <v>73</v>
      </c>
      <c r="O15">
        <v>0.65</v>
      </c>
      <c r="P15" t="s">
        <v>298</v>
      </c>
      <c r="Q15" t="s">
        <v>392</v>
      </c>
      <c r="R15" t="s">
        <v>78</v>
      </c>
      <c r="T15" t="s">
        <v>393</v>
      </c>
      <c r="U15" t="s">
        <v>394</v>
      </c>
      <c r="V15" t="s">
        <v>172</v>
      </c>
      <c r="W15" t="s">
        <v>78</v>
      </c>
      <c r="X15" t="s">
        <v>78</v>
      </c>
      <c r="Y15" t="s">
        <v>82</v>
      </c>
      <c r="Z15" t="s">
        <v>395</v>
      </c>
      <c r="AA15" t="s">
        <v>78</v>
      </c>
      <c r="AB15" t="s">
        <v>82</v>
      </c>
      <c r="AC15" t="s">
        <v>396</v>
      </c>
      <c r="AD15" t="s">
        <v>82</v>
      </c>
      <c r="AE15" t="s">
        <v>119</v>
      </c>
      <c r="AF15" t="s">
        <v>397</v>
      </c>
      <c r="AG15" t="s">
        <v>398</v>
      </c>
      <c r="AH15" t="s">
        <v>399</v>
      </c>
      <c r="AI15" t="s">
        <v>400</v>
      </c>
      <c r="AJ15" t="s">
        <v>401</v>
      </c>
      <c r="AK15">
        <v>5</v>
      </c>
      <c r="AL15" t="s">
        <v>94</v>
      </c>
      <c r="AM15" t="s">
        <v>95</v>
      </c>
      <c r="AN15" t="s">
        <v>94</v>
      </c>
      <c r="AO15" t="s">
        <v>96</v>
      </c>
      <c r="AP15" t="s">
        <v>402</v>
      </c>
      <c r="AQ15" t="s">
        <v>98</v>
      </c>
      <c r="AR15" t="s">
        <v>403</v>
      </c>
      <c r="AS15" t="s">
        <v>403</v>
      </c>
      <c r="AT15">
        <v>7</v>
      </c>
      <c r="AU15" t="s">
        <v>404</v>
      </c>
      <c r="AV15">
        <v>2</v>
      </c>
      <c r="AW15" t="s">
        <v>405</v>
      </c>
      <c r="AX15">
        <v>2</v>
      </c>
      <c r="AY15" t="s">
        <v>406</v>
      </c>
      <c r="AZ15">
        <v>1</v>
      </c>
      <c r="BA15" t="s">
        <v>407</v>
      </c>
      <c r="BB15">
        <v>2</v>
      </c>
      <c r="BD15">
        <v>0</v>
      </c>
      <c r="BF15">
        <v>0</v>
      </c>
      <c r="BG15">
        <v>2</v>
      </c>
      <c r="BH15" t="s">
        <v>134</v>
      </c>
      <c r="BI15" t="s">
        <v>78</v>
      </c>
      <c r="BJ15" t="s">
        <v>135</v>
      </c>
      <c r="BK15" t="s">
        <v>389</v>
      </c>
      <c r="BL15" t="s">
        <v>84</v>
      </c>
      <c r="BM15" s="3" t="s">
        <v>1276</v>
      </c>
      <c r="BN15" s="1" t="s">
        <v>498</v>
      </c>
      <c r="BO15" s="1" t="b">
        <f t="shared" si="0"/>
        <v>0</v>
      </c>
      <c r="BP15" t="s">
        <v>408</v>
      </c>
      <c r="BQ15" t="s">
        <v>244</v>
      </c>
    </row>
    <row r="16" spans="1:71" ht="15.75" x14ac:dyDescent="0.25">
      <c r="A16" t="s">
        <v>409</v>
      </c>
      <c r="B16" t="s">
        <v>410</v>
      </c>
      <c r="C16">
        <v>2009</v>
      </c>
      <c r="D16" t="s">
        <v>193</v>
      </c>
      <c r="E16" t="s">
        <v>194</v>
      </c>
      <c r="F16" t="s">
        <v>195</v>
      </c>
      <c r="G16" t="s">
        <v>411</v>
      </c>
      <c r="H16" t="s">
        <v>73</v>
      </c>
      <c r="I16">
        <v>3000</v>
      </c>
      <c r="J16" t="s">
        <v>412</v>
      </c>
      <c r="K16" t="s">
        <v>412</v>
      </c>
      <c r="L16" t="s">
        <v>198</v>
      </c>
      <c r="M16">
        <v>1.62</v>
      </c>
      <c r="N16" t="s">
        <v>73</v>
      </c>
      <c r="O16">
        <v>1.62</v>
      </c>
      <c r="P16" t="s">
        <v>413</v>
      </c>
      <c r="Q16" t="s">
        <v>414</v>
      </c>
      <c r="R16" t="s">
        <v>84</v>
      </c>
      <c r="S16" t="s">
        <v>415</v>
      </c>
      <c r="T16" t="s">
        <v>416</v>
      </c>
      <c r="U16" t="s">
        <v>370</v>
      </c>
      <c r="V16" t="s">
        <v>371</v>
      </c>
      <c r="W16" t="s">
        <v>78</v>
      </c>
      <c r="X16" t="s">
        <v>78</v>
      </c>
      <c r="Y16" t="s">
        <v>82</v>
      </c>
      <c r="Z16" t="s">
        <v>417</v>
      </c>
      <c r="AA16" t="s">
        <v>78</v>
      </c>
      <c r="AB16" t="s">
        <v>82</v>
      </c>
      <c r="AC16" t="s">
        <v>118</v>
      </c>
      <c r="AD16" t="s">
        <v>82</v>
      </c>
      <c r="AE16" t="s">
        <v>418</v>
      </c>
      <c r="AF16" t="s">
        <v>419</v>
      </c>
      <c r="AG16" t="s">
        <v>420</v>
      </c>
      <c r="AH16" t="s">
        <v>421</v>
      </c>
      <c r="AI16" t="s">
        <v>422</v>
      </c>
      <c r="AJ16" t="s">
        <v>423</v>
      </c>
      <c r="AK16">
        <v>4</v>
      </c>
      <c r="AL16" t="s">
        <v>424</v>
      </c>
      <c r="AM16" t="s">
        <v>95</v>
      </c>
      <c r="AN16" t="s">
        <v>425</v>
      </c>
      <c r="AO16" t="s">
        <v>426</v>
      </c>
      <c r="AP16" t="s">
        <v>427</v>
      </c>
      <c r="AQ16" t="s">
        <v>98</v>
      </c>
      <c r="AR16" t="s">
        <v>428</v>
      </c>
      <c r="AS16" t="s">
        <v>428</v>
      </c>
      <c r="AT16">
        <v>15</v>
      </c>
      <c r="AU16" t="s">
        <v>429</v>
      </c>
      <c r="AV16">
        <v>1</v>
      </c>
      <c r="AW16" t="s">
        <v>430</v>
      </c>
      <c r="AX16">
        <v>13</v>
      </c>
      <c r="AZ16">
        <v>0</v>
      </c>
      <c r="BA16" t="s">
        <v>431</v>
      </c>
      <c r="BB16">
        <v>1</v>
      </c>
      <c r="BD16">
        <v>0</v>
      </c>
      <c r="BF16">
        <v>0</v>
      </c>
      <c r="BG16">
        <v>1</v>
      </c>
      <c r="BH16" t="s">
        <v>134</v>
      </c>
      <c r="BI16" t="s">
        <v>78</v>
      </c>
      <c r="BJ16" t="s">
        <v>432</v>
      </c>
      <c r="BK16" t="s">
        <v>409</v>
      </c>
      <c r="BL16" t="s">
        <v>84</v>
      </c>
      <c r="BM16" s="3" t="s">
        <v>1277</v>
      </c>
      <c r="BN16" s="1" t="s">
        <v>498</v>
      </c>
      <c r="BO16" s="1" t="b">
        <f t="shared" si="0"/>
        <v>0</v>
      </c>
      <c r="BP16" t="s">
        <v>433</v>
      </c>
      <c r="BQ16" t="s">
        <v>78</v>
      </c>
    </row>
    <row r="17" spans="1:69" ht="15.75" hidden="1" x14ac:dyDescent="0.25">
      <c r="A17" t="s">
        <v>434</v>
      </c>
      <c r="B17" t="s">
        <v>435</v>
      </c>
      <c r="C17">
        <v>2007</v>
      </c>
      <c r="D17" t="s">
        <v>436</v>
      </c>
      <c r="E17" t="s">
        <v>437</v>
      </c>
      <c r="F17" t="s">
        <v>437</v>
      </c>
      <c r="G17" t="s">
        <v>438</v>
      </c>
      <c r="H17" t="s">
        <v>73</v>
      </c>
      <c r="I17">
        <v>156.63999999999999</v>
      </c>
      <c r="J17" t="s">
        <v>166</v>
      </c>
      <c r="K17" t="s">
        <v>166</v>
      </c>
      <c r="L17" t="s">
        <v>439</v>
      </c>
      <c r="M17">
        <v>32470</v>
      </c>
      <c r="N17" t="s">
        <v>440</v>
      </c>
      <c r="O17">
        <v>3.2000000000000001E-2</v>
      </c>
      <c r="P17" t="s">
        <v>441</v>
      </c>
      <c r="Q17" t="s">
        <v>77</v>
      </c>
      <c r="R17" t="s">
        <v>84</v>
      </c>
      <c r="S17" t="s">
        <v>442</v>
      </c>
      <c r="T17" t="s">
        <v>443</v>
      </c>
      <c r="U17" t="s">
        <v>444</v>
      </c>
      <c r="V17" t="s">
        <v>444</v>
      </c>
      <c r="W17" t="s">
        <v>78</v>
      </c>
      <c r="X17" t="s">
        <v>84</v>
      </c>
      <c r="Y17" t="s">
        <v>445</v>
      </c>
      <c r="Z17" t="s">
        <v>446</v>
      </c>
      <c r="AA17" t="s">
        <v>78</v>
      </c>
      <c r="AB17" t="s">
        <v>82</v>
      </c>
      <c r="AC17" t="s">
        <v>447</v>
      </c>
      <c r="AD17" t="s">
        <v>82</v>
      </c>
      <c r="AE17" t="s">
        <v>448</v>
      </c>
      <c r="AF17" t="s">
        <v>449</v>
      </c>
      <c r="AG17" t="s">
        <v>449</v>
      </c>
      <c r="AH17" t="s">
        <v>82</v>
      </c>
      <c r="AI17" t="s">
        <v>122</v>
      </c>
      <c r="AJ17" t="s">
        <v>450</v>
      </c>
      <c r="AK17">
        <v>3</v>
      </c>
      <c r="AL17" t="s">
        <v>94</v>
      </c>
      <c r="AM17" t="s">
        <v>95</v>
      </c>
      <c r="AN17" t="s">
        <v>94</v>
      </c>
      <c r="AO17" t="s">
        <v>96</v>
      </c>
      <c r="AP17" t="s">
        <v>451</v>
      </c>
      <c r="AQ17" t="s">
        <v>452</v>
      </c>
      <c r="AR17" t="s">
        <v>453</v>
      </c>
      <c r="AS17" t="s">
        <v>454</v>
      </c>
      <c r="AT17">
        <v>12</v>
      </c>
      <c r="AU17" t="s">
        <v>455</v>
      </c>
      <c r="AV17">
        <v>7</v>
      </c>
      <c r="AW17" t="s">
        <v>456</v>
      </c>
      <c r="AX17">
        <v>1</v>
      </c>
      <c r="AZ17">
        <v>0</v>
      </c>
      <c r="BA17" t="s">
        <v>457</v>
      </c>
      <c r="BB17">
        <v>4</v>
      </c>
      <c r="BD17">
        <v>0</v>
      </c>
      <c r="BF17">
        <v>0</v>
      </c>
      <c r="BG17">
        <v>4</v>
      </c>
      <c r="BH17" t="s">
        <v>458</v>
      </c>
      <c r="BI17" t="s">
        <v>78</v>
      </c>
      <c r="BJ17" t="s">
        <v>459</v>
      </c>
      <c r="BK17" t="s">
        <v>434</v>
      </c>
      <c r="BL17" t="s">
        <v>84</v>
      </c>
      <c r="BM17" s="3" t="s">
        <v>1278</v>
      </c>
      <c r="BN17" s="1" t="s">
        <v>716</v>
      </c>
      <c r="BO17" s="1" t="b">
        <f t="shared" si="0"/>
        <v>1</v>
      </c>
      <c r="BP17" t="s">
        <v>460</v>
      </c>
      <c r="BQ17" t="s">
        <v>78</v>
      </c>
    </row>
    <row r="18" spans="1:69" ht="15.75" x14ac:dyDescent="0.25">
      <c r="A18" t="s">
        <v>461</v>
      </c>
      <c r="B18" t="s">
        <v>462</v>
      </c>
      <c r="C18">
        <v>2024</v>
      </c>
      <c r="D18" t="s">
        <v>193</v>
      </c>
      <c r="E18" t="s">
        <v>194</v>
      </c>
      <c r="F18" t="s">
        <v>195</v>
      </c>
      <c r="G18" t="s">
        <v>463</v>
      </c>
      <c r="H18" t="s">
        <v>73</v>
      </c>
      <c r="I18">
        <v>1582.616</v>
      </c>
      <c r="J18" t="s">
        <v>197</v>
      </c>
      <c r="K18" t="s">
        <v>197</v>
      </c>
      <c r="L18" t="s">
        <v>464</v>
      </c>
      <c r="M18">
        <v>0.95799999999999996</v>
      </c>
      <c r="N18" t="s">
        <v>73</v>
      </c>
      <c r="O18">
        <v>0.95799999999999996</v>
      </c>
      <c r="P18" t="s">
        <v>465</v>
      </c>
      <c r="Q18" t="s">
        <v>466</v>
      </c>
      <c r="R18" t="s">
        <v>84</v>
      </c>
      <c r="S18" t="s">
        <v>467</v>
      </c>
      <c r="T18" t="s">
        <v>468</v>
      </c>
      <c r="U18" t="s">
        <v>80</v>
      </c>
      <c r="V18" t="s">
        <v>81</v>
      </c>
      <c r="W18" t="s">
        <v>84</v>
      </c>
      <c r="X18" t="s">
        <v>84</v>
      </c>
      <c r="Y18" t="s">
        <v>253</v>
      </c>
      <c r="Z18" t="s">
        <v>469</v>
      </c>
      <c r="AA18" t="s">
        <v>84</v>
      </c>
      <c r="AB18" t="s">
        <v>470</v>
      </c>
      <c r="AC18" t="s">
        <v>118</v>
      </c>
      <c r="AD18" t="s">
        <v>82</v>
      </c>
      <c r="AE18" t="s">
        <v>119</v>
      </c>
      <c r="AF18" t="s">
        <v>471</v>
      </c>
      <c r="AG18" t="s">
        <v>472</v>
      </c>
      <c r="AH18" t="s">
        <v>473</v>
      </c>
      <c r="AI18" t="s">
        <v>474</v>
      </c>
      <c r="AJ18" t="s">
        <v>475</v>
      </c>
      <c r="AK18">
        <v>5</v>
      </c>
      <c r="AL18" t="s">
        <v>96</v>
      </c>
      <c r="AM18" t="s">
        <v>95</v>
      </c>
      <c r="AN18" t="s">
        <v>96</v>
      </c>
      <c r="AO18" t="s">
        <v>96</v>
      </c>
      <c r="AP18" t="s">
        <v>476</v>
      </c>
      <c r="AQ18" t="s">
        <v>154</v>
      </c>
      <c r="AR18" t="s">
        <v>477</v>
      </c>
      <c r="AS18" t="s">
        <v>477</v>
      </c>
      <c r="AT18">
        <v>15</v>
      </c>
      <c r="AU18" t="s">
        <v>478</v>
      </c>
      <c r="AV18">
        <v>1</v>
      </c>
      <c r="AW18" t="s">
        <v>479</v>
      </c>
      <c r="AX18">
        <v>9</v>
      </c>
      <c r="AZ18">
        <v>0</v>
      </c>
      <c r="BA18" t="s">
        <v>480</v>
      </c>
      <c r="BB18">
        <v>1</v>
      </c>
      <c r="BD18">
        <v>0</v>
      </c>
      <c r="BE18" t="s">
        <v>481</v>
      </c>
      <c r="BF18">
        <v>4</v>
      </c>
      <c r="BG18">
        <v>1</v>
      </c>
      <c r="BH18" t="s">
        <v>482</v>
      </c>
      <c r="BI18" t="s">
        <v>84</v>
      </c>
      <c r="BJ18" t="s">
        <v>483</v>
      </c>
      <c r="BK18" t="s">
        <v>461</v>
      </c>
      <c r="BL18" t="s">
        <v>84</v>
      </c>
      <c r="BM18" s="3" t="s">
        <v>1279</v>
      </c>
      <c r="BN18" s="1" t="s">
        <v>498</v>
      </c>
      <c r="BO18" s="1" t="b">
        <f t="shared" si="0"/>
        <v>0</v>
      </c>
      <c r="BP18" t="s">
        <v>484</v>
      </c>
      <c r="BQ18" t="s">
        <v>78</v>
      </c>
    </row>
    <row r="19" spans="1:69" ht="15.75" hidden="1" x14ac:dyDescent="0.25">
      <c r="A19" t="s">
        <v>485</v>
      </c>
      <c r="B19" t="s">
        <v>486</v>
      </c>
      <c r="C19">
        <v>2022</v>
      </c>
      <c r="D19" t="s">
        <v>193</v>
      </c>
      <c r="E19" t="s">
        <v>194</v>
      </c>
      <c r="F19" t="s">
        <v>195</v>
      </c>
      <c r="G19" t="s">
        <v>487</v>
      </c>
      <c r="H19" t="s">
        <v>73</v>
      </c>
      <c r="I19">
        <v>3193.03</v>
      </c>
      <c r="J19" t="s">
        <v>296</v>
      </c>
      <c r="K19" t="s">
        <v>296</v>
      </c>
      <c r="L19" t="s">
        <v>198</v>
      </c>
      <c r="M19">
        <v>1.62</v>
      </c>
      <c r="N19" t="s">
        <v>73</v>
      </c>
      <c r="O19">
        <v>1.62</v>
      </c>
      <c r="P19" t="s">
        <v>199</v>
      </c>
      <c r="Q19" t="s">
        <v>200</v>
      </c>
      <c r="R19" t="s">
        <v>78</v>
      </c>
      <c r="T19" t="s">
        <v>488</v>
      </c>
      <c r="U19" t="s">
        <v>348</v>
      </c>
      <c r="V19" t="s">
        <v>349</v>
      </c>
      <c r="W19" t="s">
        <v>78</v>
      </c>
      <c r="X19" t="s">
        <v>78</v>
      </c>
      <c r="Y19" t="s">
        <v>82</v>
      </c>
      <c r="Z19" t="s">
        <v>489</v>
      </c>
      <c r="AA19" t="s">
        <v>78</v>
      </c>
      <c r="AB19" t="s">
        <v>82</v>
      </c>
      <c r="AC19" t="s">
        <v>118</v>
      </c>
      <c r="AD19" t="s">
        <v>82</v>
      </c>
      <c r="AE19" t="s">
        <v>119</v>
      </c>
      <c r="AF19" t="s">
        <v>490</v>
      </c>
      <c r="AG19" t="s">
        <v>205</v>
      </c>
      <c r="AH19" t="s">
        <v>491</v>
      </c>
      <c r="AI19" t="s">
        <v>492</v>
      </c>
      <c r="AJ19" t="s">
        <v>493</v>
      </c>
      <c r="AK19">
        <v>3</v>
      </c>
      <c r="AL19" t="s">
        <v>209</v>
      </c>
      <c r="AM19" t="s">
        <v>95</v>
      </c>
      <c r="AN19" t="s">
        <v>209</v>
      </c>
      <c r="AO19" t="s">
        <v>210</v>
      </c>
      <c r="AP19" t="s">
        <v>211</v>
      </c>
      <c r="AQ19" t="s">
        <v>154</v>
      </c>
      <c r="AR19" t="s">
        <v>494</v>
      </c>
      <c r="AS19" t="s">
        <v>494</v>
      </c>
      <c r="AT19">
        <v>12</v>
      </c>
      <c r="AU19" t="s">
        <v>495</v>
      </c>
      <c r="AV19">
        <v>2</v>
      </c>
      <c r="AW19" t="s">
        <v>496</v>
      </c>
      <c r="AX19">
        <v>9</v>
      </c>
      <c r="AZ19">
        <v>0</v>
      </c>
      <c r="BA19" t="s">
        <v>480</v>
      </c>
      <c r="BB19">
        <v>1</v>
      </c>
      <c r="BD19">
        <v>0</v>
      </c>
      <c r="BF19">
        <v>0</v>
      </c>
      <c r="BG19">
        <v>1</v>
      </c>
      <c r="BH19" t="s">
        <v>134</v>
      </c>
      <c r="BI19" t="s">
        <v>78</v>
      </c>
      <c r="BJ19" t="s">
        <v>135</v>
      </c>
      <c r="BK19" t="s">
        <v>485</v>
      </c>
      <c r="BL19" t="s">
        <v>78</v>
      </c>
      <c r="BM19" s="3" t="s">
        <v>1280</v>
      </c>
      <c r="BN19" s="1" t="s">
        <v>498</v>
      </c>
      <c r="BO19" s="1" t="b">
        <f t="shared" si="0"/>
        <v>1</v>
      </c>
      <c r="BP19" t="s">
        <v>497</v>
      </c>
      <c r="BQ19" t="s">
        <v>498</v>
      </c>
    </row>
    <row r="20" spans="1:69" ht="15.75" x14ac:dyDescent="0.25">
      <c r="A20" t="s">
        <v>499</v>
      </c>
      <c r="B20" t="s">
        <v>500</v>
      </c>
      <c r="C20">
        <v>2021</v>
      </c>
      <c r="D20" t="s">
        <v>193</v>
      </c>
      <c r="E20" t="s">
        <v>194</v>
      </c>
      <c r="F20" t="s">
        <v>195</v>
      </c>
      <c r="G20" t="s">
        <v>487</v>
      </c>
      <c r="H20" t="s">
        <v>73</v>
      </c>
      <c r="I20">
        <v>3193.03</v>
      </c>
      <c r="J20" t="s">
        <v>296</v>
      </c>
      <c r="K20" t="s">
        <v>296</v>
      </c>
      <c r="L20" t="s">
        <v>198</v>
      </c>
      <c r="M20">
        <v>1.62</v>
      </c>
      <c r="N20" t="s">
        <v>73</v>
      </c>
      <c r="O20">
        <v>1.62</v>
      </c>
      <c r="P20" t="s">
        <v>199</v>
      </c>
      <c r="Q20" t="s">
        <v>200</v>
      </c>
      <c r="R20" t="s">
        <v>78</v>
      </c>
      <c r="T20" t="s">
        <v>501</v>
      </c>
      <c r="U20" t="s">
        <v>502</v>
      </c>
      <c r="V20" t="s">
        <v>503</v>
      </c>
      <c r="W20" t="s">
        <v>78</v>
      </c>
      <c r="X20" t="s">
        <v>78</v>
      </c>
      <c r="Y20" t="s">
        <v>82</v>
      </c>
      <c r="Z20" t="s">
        <v>504</v>
      </c>
      <c r="AA20" t="s">
        <v>78</v>
      </c>
      <c r="AB20" t="s">
        <v>82</v>
      </c>
      <c r="AC20" t="s">
        <v>118</v>
      </c>
      <c r="AD20" t="s">
        <v>82</v>
      </c>
      <c r="AE20" t="s">
        <v>119</v>
      </c>
      <c r="AF20" t="s">
        <v>505</v>
      </c>
      <c r="AG20" t="s">
        <v>205</v>
      </c>
      <c r="AH20" t="s">
        <v>506</v>
      </c>
      <c r="AI20" t="s">
        <v>507</v>
      </c>
      <c r="AJ20" t="s">
        <v>508</v>
      </c>
      <c r="AK20">
        <v>6</v>
      </c>
      <c r="AL20" t="s">
        <v>209</v>
      </c>
      <c r="AM20" t="s">
        <v>95</v>
      </c>
      <c r="AN20" t="s">
        <v>209</v>
      </c>
      <c r="AO20" t="s">
        <v>210</v>
      </c>
      <c r="AP20" t="s">
        <v>509</v>
      </c>
      <c r="AQ20" t="s">
        <v>154</v>
      </c>
      <c r="AR20" t="s">
        <v>510</v>
      </c>
      <c r="AS20" t="s">
        <v>510</v>
      </c>
      <c r="AT20">
        <v>18</v>
      </c>
      <c r="AU20" t="s">
        <v>214</v>
      </c>
      <c r="AV20">
        <v>3</v>
      </c>
      <c r="AW20" t="s">
        <v>511</v>
      </c>
      <c r="AX20">
        <v>13</v>
      </c>
      <c r="AZ20">
        <v>0</v>
      </c>
      <c r="BA20" t="s">
        <v>216</v>
      </c>
      <c r="BB20">
        <v>1</v>
      </c>
      <c r="BD20">
        <v>0</v>
      </c>
      <c r="BE20" t="s">
        <v>512</v>
      </c>
      <c r="BF20">
        <v>1</v>
      </c>
      <c r="BG20">
        <v>1</v>
      </c>
      <c r="BH20" t="s">
        <v>217</v>
      </c>
      <c r="BI20" t="s">
        <v>78</v>
      </c>
      <c r="BJ20" t="s">
        <v>135</v>
      </c>
      <c r="BK20" t="s">
        <v>499</v>
      </c>
      <c r="BL20" t="s">
        <v>84</v>
      </c>
      <c r="BM20" s="3" t="s">
        <v>1281</v>
      </c>
      <c r="BN20" s="1" t="s">
        <v>498</v>
      </c>
      <c r="BO20" s="1" t="b">
        <f t="shared" si="0"/>
        <v>0</v>
      </c>
      <c r="BP20" t="s">
        <v>513</v>
      </c>
      <c r="BQ20" t="s">
        <v>498</v>
      </c>
    </row>
    <row r="21" spans="1:69" ht="15.75" hidden="1" x14ac:dyDescent="0.25">
      <c r="A21" t="s">
        <v>514</v>
      </c>
      <c r="B21" t="s">
        <v>515</v>
      </c>
      <c r="C21">
        <v>2016</v>
      </c>
      <c r="D21" t="s">
        <v>436</v>
      </c>
      <c r="E21" t="s">
        <v>516</v>
      </c>
      <c r="F21" t="s">
        <v>516</v>
      </c>
      <c r="G21" t="s">
        <v>77</v>
      </c>
      <c r="H21" t="s">
        <v>77</v>
      </c>
      <c r="J21" t="s">
        <v>517</v>
      </c>
      <c r="K21" t="s">
        <v>517</v>
      </c>
      <c r="L21" t="s">
        <v>518</v>
      </c>
      <c r="M21">
        <v>19680</v>
      </c>
      <c r="N21" t="s">
        <v>168</v>
      </c>
      <c r="O21">
        <v>0.02</v>
      </c>
      <c r="P21" t="s">
        <v>519</v>
      </c>
      <c r="Q21" t="s">
        <v>520</v>
      </c>
      <c r="R21" t="s">
        <v>78</v>
      </c>
      <c r="S21" t="s">
        <v>521</v>
      </c>
      <c r="T21" t="s">
        <v>522</v>
      </c>
      <c r="U21" t="s">
        <v>523</v>
      </c>
      <c r="V21" t="s">
        <v>349</v>
      </c>
      <c r="W21" t="s">
        <v>78</v>
      </c>
      <c r="X21" t="s">
        <v>78</v>
      </c>
      <c r="Y21" t="s">
        <v>82</v>
      </c>
      <c r="Z21" t="s">
        <v>524</v>
      </c>
      <c r="AA21" t="s">
        <v>84</v>
      </c>
      <c r="AB21" t="s">
        <v>525</v>
      </c>
      <c r="AC21" t="s">
        <v>526</v>
      </c>
      <c r="AD21" t="s">
        <v>527</v>
      </c>
      <c r="AE21" t="s">
        <v>119</v>
      </c>
      <c r="AF21" t="s">
        <v>528</v>
      </c>
      <c r="AG21" t="s">
        <v>529</v>
      </c>
      <c r="AH21" t="s">
        <v>530</v>
      </c>
      <c r="AI21" t="s">
        <v>531</v>
      </c>
      <c r="AJ21" t="s">
        <v>532</v>
      </c>
      <c r="AK21">
        <v>5</v>
      </c>
      <c r="AL21" t="s">
        <v>209</v>
      </c>
      <c r="AM21" t="s">
        <v>95</v>
      </c>
      <c r="AN21" t="s">
        <v>209</v>
      </c>
      <c r="AO21" t="s">
        <v>210</v>
      </c>
      <c r="AP21" t="s">
        <v>533</v>
      </c>
      <c r="AQ21" t="s">
        <v>98</v>
      </c>
      <c r="AR21" t="s">
        <v>534</v>
      </c>
      <c r="AS21" t="s">
        <v>534</v>
      </c>
      <c r="AT21">
        <v>18</v>
      </c>
      <c r="AU21" t="s">
        <v>535</v>
      </c>
      <c r="AV21">
        <v>2</v>
      </c>
      <c r="AW21" t="s">
        <v>536</v>
      </c>
      <c r="AX21">
        <v>15</v>
      </c>
      <c r="AZ21">
        <v>0</v>
      </c>
      <c r="BA21" t="s">
        <v>537</v>
      </c>
      <c r="BB21">
        <v>1</v>
      </c>
      <c r="BD21">
        <v>0</v>
      </c>
      <c r="BF21">
        <v>0</v>
      </c>
      <c r="BG21">
        <v>1</v>
      </c>
      <c r="BH21" t="s">
        <v>134</v>
      </c>
      <c r="BI21" t="s">
        <v>84</v>
      </c>
      <c r="BJ21" t="s">
        <v>538</v>
      </c>
      <c r="BK21" t="s">
        <v>514</v>
      </c>
      <c r="BL21" t="s">
        <v>84</v>
      </c>
      <c r="BM21" s="3" t="s">
        <v>1282</v>
      </c>
      <c r="BN21" s="1" t="s">
        <v>716</v>
      </c>
      <c r="BO21" s="1" t="b">
        <f t="shared" si="0"/>
        <v>1</v>
      </c>
      <c r="BP21" t="s">
        <v>539</v>
      </c>
      <c r="BQ21" t="s">
        <v>78</v>
      </c>
    </row>
    <row r="22" spans="1:69" ht="15.75" hidden="1" x14ac:dyDescent="0.25">
      <c r="A22" t="s">
        <v>540</v>
      </c>
      <c r="B22" t="s">
        <v>541</v>
      </c>
      <c r="C22">
        <v>2003</v>
      </c>
      <c r="D22" t="s">
        <v>109</v>
      </c>
      <c r="E22" t="s">
        <v>110</v>
      </c>
      <c r="F22" t="s">
        <v>110</v>
      </c>
      <c r="G22" t="s">
        <v>390</v>
      </c>
      <c r="H22" t="s">
        <v>73</v>
      </c>
      <c r="I22">
        <v>57.85</v>
      </c>
      <c r="J22" t="s">
        <v>296</v>
      </c>
      <c r="K22" t="s">
        <v>296</v>
      </c>
      <c r="L22" t="s">
        <v>297</v>
      </c>
      <c r="M22">
        <v>0.65</v>
      </c>
      <c r="N22" t="s">
        <v>73</v>
      </c>
      <c r="O22">
        <v>0.65</v>
      </c>
      <c r="P22" t="s">
        <v>298</v>
      </c>
      <c r="Q22" t="s">
        <v>542</v>
      </c>
      <c r="R22" t="s">
        <v>78</v>
      </c>
      <c r="T22" t="s">
        <v>543</v>
      </c>
      <c r="U22" t="s">
        <v>80</v>
      </c>
      <c r="V22" t="s">
        <v>81</v>
      </c>
      <c r="W22" t="s">
        <v>78</v>
      </c>
      <c r="X22" t="s">
        <v>78</v>
      </c>
      <c r="Y22" t="s">
        <v>82</v>
      </c>
      <c r="Z22" t="s">
        <v>544</v>
      </c>
      <c r="AA22" t="s">
        <v>78</v>
      </c>
      <c r="AB22" t="s">
        <v>82</v>
      </c>
      <c r="AC22" t="s">
        <v>118</v>
      </c>
      <c r="AD22" t="s">
        <v>82</v>
      </c>
      <c r="AE22" t="s">
        <v>119</v>
      </c>
      <c r="AF22" t="s">
        <v>304</v>
      </c>
      <c r="AG22" t="s">
        <v>305</v>
      </c>
      <c r="AH22" t="s">
        <v>545</v>
      </c>
      <c r="AI22" t="s">
        <v>546</v>
      </c>
      <c r="AJ22" t="s">
        <v>547</v>
      </c>
      <c r="AK22">
        <v>2</v>
      </c>
      <c r="AL22" t="s">
        <v>94</v>
      </c>
      <c r="AM22" t="s">
        <v>95</v>
      </c>
      <c r="AN22" t="s">
        <v>94</v>
      </c>
      <c r="AO22" t="s">
        <v>96</v>
      </c>
      <c r="AP22" t="s">
        <v>548</v>
      </c>
      <c r="AQ22" t="s">
        <v>549</v>
      </c>
      <c r="AR22" t="s">
        <v>550</v>
      </c>
      <c r="AS22" t="s">
        <v>550</v>
      </c>
      <c r="AT22">
        <v>6</v>
      </c>
      <c r="AU22" t="s">
        <v>551</v>
      </c>
      <c r="AV22">
        <v>2</v>
      </c>
      <c r="AW22" t="s">
        <v>552</v>
      </c>
      <c r="AX22">
        <v>2</v>
      </c>
      <c r="AY22" t="s">
        <v>553</v>
      </c>
      <c r="AZ22">
        <v>1</v>
      </c>
      <c r="BA22" t="s">
        <v>554</v>
      </c>
      <c r="BB22">
        <v>1</v>
      </c>
      <c r="BD22">
        <v>0</v>
      </c>
      <c r="BF22">
        <v>0</v>
      </c>
      <c r="BG22">
        <v>1</v>
      </c>
      <c r="BH22" t="s">
        <v>134</v>
      </c>
      <c r="BI22" t="s">
        <v>78</v>
      </c>
      <c r="BJ22" t="s">
        <v>555</v>
      </c>
      <c r="BK22" t="s">
        <v>540</v>
      </c>
      <c r="BL22" t="s">
        <v>84</v>
      </c>
      <c r="BM22" s="3" t="s">
        <v>1283</v>
      </c>
      <c r="BN22" s="1" t="s">
        <v>716</v>
      </c>
      <c r="BO22" s="1" t="b">
        <f t="shared" si="0"/>
        <v>1</v>
      </c>
      <c r="BP22" t="s">
        <v>556</v>
      </c>
      <c r="BQ22" t="s">
        <v>557</v>
      </c>
    </row>
    <row r="23" spans="1:69" ht="15.75" x14ac:dyDescent="0.25">
      <c r="A23" t="s">
        <v>558</v>
      </c>
      <c r="B23" t="s">
        <v>559</v>
      </c>
      <c r="C23">
        <v>2010</v>
      </c>
      <c r="D23" t="s">
        <v>109</v>
      </c>
      <c r="E23" t="s">
        <v>560</v>
      </c>
      <c r="F23" t="s">
        <v>560</v>
      </c>
      <c r="G23" t="s">
        <v>561</v>
      </c>
      <c r="H23" t="s">
        <v>77</v>
      </c>
      <c r="J23" t="s">
        <v>112</v>
      </c>
      <c r="K23" t="s">
        <v>112</v>
      </c>
      <c r="L23" t="s">
        <v>77</v>
      </c>
      <c r="P23" t="s">
        <v>562</v>
      </c>
      <c r="Q23" t="s">
        <v>115</v>
      </c>
      <c r="R23" t="s">
        <v>78</v>
      </c>
      <c r="T23" t="s">
        <v>563</v>
      </c>
      <c r="U23" t="s">
        <v>394</v>
      </c>
      <c r="V23" t="s">
        <v>172</v>
      </c>
      <c r="W23" t="s">
        <v>78</v>
      </c>
      <c r="X23" t="s">
        <v>78</v>
      </c>
      <c r="Y23" t="s">
        <v>82</v>
      </c>
      <c r="Z23" t="s">
        <v>564</v>
      </c>
      <c r="AA23" t="s">
        <v>78</v>
      </c>
      <c r="AB23" t="s">
        <v>82</v>
      </c>
      <c r="AC23" t="s">
        <v>118</v>
      </c>
      <c r="AD23" t="s">
        <v>82</v>
      </c>
      <c r="AE23" t="s">
        <v>119</v>
      </c>
      <c r="AF23" t="s">
        <v>120</v>
      </c>
      <c r="AG23" t="s">
        <v>121</v>
      </c>
      <c r="AH23" t="s">
        <v>565</v>
      </c>
      <c r="AI23" t="s">
        <v>566</v>
      </c>
      <c r="AJ23" t="s">
        <v>567</v>
      </c>
      <c r="AK23">
        <v>3</v>
      </c>
      <c r="AL23" t="s">
        <v>568</v>
      </c>
      <c r="AM23" t="s">
        <v>95</v>
      </c>
      <c r="AN23" t="s">
        <v>568</v>
      </c>
      <c r="AO23" t="s">
        <v>210</v>
      </c>
      <c r="AP23" t="s">
        <v>569</v>
      </c>
      <c r="AQ23" t="s">
        <v>98</v>
      </c>
      <c r="AR23" t="s">
        <v>570</v>
      </c>
      <c r="AS23" t="s">
        <v>570</v>
      </c>
      <c r="AT23">
        <v>11</v>
      </c>
      <c r="AU23" t="s">
        <v>571</v>
      </c>
      <c r="AV23">
        <v>5</v>
      </c>
      <c r="AW23" t="s">
        <v>572</v>
      </c>
      <c r="AX23">
        <v>1</v>
      </c>
      <c r="AY23" t="s">
        <v>573</v>
      </c>
      <c r="AZ23">
        <v>1</v>
      </c>
      <c r="BA23" t="s">
        <v>574</v>
      </c>
      <c r="BB23">
        <v>2</v>
      </c>
      <c r="BC23" t="s">
        <v>575</v>
      </c>
      <c r="BD23">
        <v>2</v>
      </c>
      <c r="BF23">
        <v>0</v>
      </c>
      <c r="BG23">
        <v>2</v>
      </c>
      <c r="BH23" t="s">
        <v>385</v>
      </c>
      <c r="BI23" t="s">
        <v>78</v>
      </c>
      <c r="BJ23" t="s">
        <v>576</v>
      </c>
      <c r="BK23" t="s">
        <v>558</v>
      </c>
      <c r="BL23" t="s">
        <v>84</v>
      </c>
      <c r="BM23" s="3" t="s">
        <v>1284</v>
      </c>
      <c r="BN23" s="1" t="s">
        <v>498</v>
      </c>
      <c r="BO23" s="1" t="b">
        <f t="shared" si="0"/>
        <v>0</v>
      </c>
      <c r="BP23" t="s">
        <v>577</v>
      </c>
      <c r="BQ23" t="s">
        <v>578</v>
      </c>
    </row>
    <row r="24" spans="1:69" ht="15.75" hidden="1" x14ac:dyDescent="0.25">
      <c r="A24" t="s">
        <v>579</v>
      </c>
      <c r="B24" t="s">
        <v>580</v>
      </c>
      <c r="C24">
        <v>2025</v>
      </c>
      <c r="D24" t="s">
        <v>581</v>
      </c>
      <c r="E24" t="s">
        <v>560</v>
      </c>
      <c r="F24" t="s">
        <v>560</v>
      </c>
      <c r="G24" t="s">
        <v>77</v>
      </c>
      <c r="H24" t="s">
        <v>77</v>
      </c>
      <c r="J24" t="s">
        <v>582</v>
      </c>
      <c r="K24" t="s">
        <v>583</v>
      </c>
      <c r="L24" t="s">
        <v>584</v>
      </c>
      <c r="M24">
        <v>1.2</v>
      </c>
      <c r="N24" t="s">
        <v>73</v>
      </c>
      <c r="O24">
        <v>1.2</v>
      </c>
      <c r="P24" t="s">
        <v>585</v>
      </c>
      <c r="Q24" t="s">
        <v>586</v>
      </c>
      <c r="R24" t="s">
        <v>78</v>
      </c>
      <c r="T24" t="s">
        <v>587</v>
      </c>
      <c r="U24" t="s">
        <v>277</v>
      </c>
      <c r="V24" t="s">
        <v>278</v>
      </c>
      <c r="W24" t="s">
        <v>78</v>
      </c>
      <c r="X24" t="s">
        <v>78</v>
      </c>
      <c r="Y24" t="s">
        <v>82</v>
      </c>
      <c r="Z24" t="s">
        <v>588</v>
      </c>
      <c r="AA24" t="s">
        <v>84</v>
      </c>
      <c r="AB24" t="s">
        <v>470</v>
      </c>
      <c r="AC24" t="s">
        <v>589</v>
      </c>
      <c r="AD24" t="s">
        <v>82</v>
      </c>
      <c r="AE24" t="s">
        <v>590</v>
      </c>
      <c r="AF24" t="s">
        <v>591</v>
      </c>
      <c r="AG24" t="s">
        <v>592</v>
      </c>
      <c r="AH24" t="s">
        <v>593</v>
      </c>
      <c r="AI24" t="s">
        <v>594</v>
      </c>
      <c r="AJ24" t="s">
        <v>595</v>
      </c>
      <c r="AK24">
        <v>5</v>
      </c>
      <c r="AL24" t="s">
        <v>596</v>
      </c>
      <c r="AM24" t="s">
        <v>125</v>
      </c>
      <c r="AN24" t="s">
        <v>597</v>
      </c>
      <c r="AO24" t="s">
        <v>127</v>
      </c>
      <c r="AP24" t="s">
        <v>598</v>
      </c>
      <c r="AQ24" t="s">
        <v>98</v>
      </c>
      <c r="AR24" t="s">
        <v>599</v>
      </c>
      <c r="AS24" t="s">
        <v>599</v>
      </c>
      <c r="AT24">
        <v>3</v>
      </c>
      <c r="AV24">
        <v>0</v>
      </c>
      <c r="AW24" t="s">
        <v>600</v>
      </c>
      <c r="AX24">
        <v>1</v>
      </c>
      <c r="AZ24">
        <v>0</v>
      </c>
      <c r="BA24" t="s">
        <v>601</v>
      </c>
      <c r="BB24">
        <v>1</v>
      </c>
      <c r="BC24" t="s">
        <v>602</v>
      </c>
      <c r="BD24">
        <v>1</v>
      </c>
      <c r="BF24">
        <v>0</v>
      </c>
      <c r="BG24">
        <v>1</v>
      </c>
      <c r="BH24" t="s">
        <v>385</v>
      </c>
      <c r="BI24" t="s">
        <v>78</v>
      </c>
      <c r="BJ24" t="s">
        <v>603</v>
      </c>
      <c r="BK24" t="s">
        <v>579</v>
      </c>
      <c r="BL24" t="s">
        <v>84</v>
      </c>
      <c r="BM24" s="3" t="s">
        <v>1285</v>
      </c>
      <c r="BN24" s="1" t="s">
        <v>716</v>
      </c>
      <c r="BO24" s="1" t="b">
        <f t="shared" si="0"/>
        <v>1</v>
      </c>
      <c r="BP24" t="s">
        <v>604</v>
      </c>
      <c r="BQ24" t="s">
        <v>605</v>
      </c>
    </row>
    <row r="25" spans="1:69" ht="15.75" x14ac:dyDescent="0.25">
      <c r="A25" t="s">
        <v>606</v>
      </c>
      <c r="B25" t="s">
        <v>607</v>
      </c>
      <c r="C25">
        <v>2016</v>
      </c>
      <c r="D25" t="s">
        <v>109</v>
      </c>
      <c r="E25" t="s">
        <v>110</v>
      </c>
      <c r="F25" t="s">
        <v>110</v>
      </c>
      <c r="G25" t="s">
        <v>111</v>
      </c>
      <c r="H25" t="s">
        <v>73</v>
      </c>
      <c r="I25">
        <v>420.32</v>
      </c>
      <c r="J25" t="s">
        <v>112</v>
      </c>
      <c r="K25" t="s">
        <v>112</v>
      </c>
      <c r="L25" t="s">
        <v>113</v>
      </c>
      <c r="M25">
        <v>2.96</v>
      </c>
      <c r="N25" t="s">
        <v>73</v>
      </c>
      <c r="O25">
        <v>2.96</v>
      </c>
      <c r="P25" t="s">
        <v>140</v>
      </c>
      <c r="Q25" t="s">
        <v>608</v>
      </c>
      <c r="R25" t="s">
        <v>78</v>
      </c>
      <c r="T25" t="s">
        <v>609</v>
      </c>
      <c r="U25" t="s">
        <v>80</v>
      </c>
      <c r="V25" t="s">
        <v>81</v>
      </c>
      <c r="W25" t="s">
        <v>78</v>
      </c>
      <c r="X25" t="s">
        <v>78</v>
      </c>
      <c r="Y25" t="s">
        <v>82</v>
      </c>
      <c r="Z25" t="s">
        <v>610</v>
      </c>
      <c r="AA25" t="s">
        <v>78</v>
      </c>
      <c r="AB25" t="s">
        <v>82</v>
      </c>
      <c r="AC25" t="s">
        <v>118</v>
      </c>
      <c r="AD25" t="s">
        <v>82</v>
      </c>
      <c r="AE25" t="s">
        <v>119</v>
      </c>
      <c r="AF25" t="s">
        <v>258</v>
      </c>
      <c r="AG25" t="s">
        <v>147</v>
      </c>
      <c r="AH25" t="s">
        <v>148</v>
      </c>
      <c r="AI25" t="s">
        <v>611</v>
      </c>
      <c r="AJ25" t="s">
        <v>612</v>
      </c>
      <c r="AK25">
        <v>5</v>
      </c>
      <c r="AL25" t="s">
        <v>613</v>
      </c>
      <c r="AM25" t="s">
        <v>125</v>
      </c>
      <c r="AN25" t="s">
        <v>127</v>
      </c>
      <c r="AO25" t="s">
        <v>127</v>
      </c>
      <c r="AP25" t="s">
        <v>614</v>
      </c>
      <c r="AQ25" t="s">
        <v>98</v>
      </c>
      <c r="AR25" t="s">
        <v>615</v>
      </c>
      <c r="AS25" t="s">
        <v>615</v>
      </c>
      <c r="AT25">
        <v>16</v>
      </c>
      <c r="AU25" t="s">
        <v>616</v>
      </c>
      <c r="AV25">
        <v>3</v>
      </c>
      <c r="AW25" t="s">
        <v>617</v>
      </c>
      <c r="AX25">
        <v>7</v>
      </c>
      <c r="AZ25">
        <v>0</v>
      </c>
      <c r="BA25" t="s">
        <v>618</v>
      </c>
      <c r="BB25">
        <v>1</v>
      </c>
      <c r="BC25" t="s">
        <v>619</v>
      </c>
      <c r="BD25">
        <v>5</v>
      </c>
      <c r="BF25">
        <v>0</v>
      </c>
      <c r="BG25">
        <v>1</v>
      </c>
      <c r="BH25" t="s">
        <v>620</v>
      </c>
      <c r="BI25" t="s">
        <v>78</v>
      </c>
      <c r="BJ25" t="s">
        <v>621</v>
      </c>
      <c r="BK25" t="s">
        <v>606</v>
      </c>
      <c r="BL25" t="s">
        <v>84</v>
      </c>
      <c r="BM25" s="3" t="s">
        <v>606</v>
      </c>
      <c r="BN25" s="4" t="s">
        <v>498</v>
      </c>
      <c r="BO25" s="1" t="b">
        <f t="shared" si="0"/>
        <v>0</v>
      </c>
      <c r="BP25" t="s">
        <v>622</v>
      </c>
      <c r="BQ25" t="s">
        <v>623</v>
      </c>
    </row>
    <row r="26" spans="1:69" ht="15.75" x14ac:dyDescent="0.25">
      <c r="A26" t="s">
        <v>624</v>
      </c>
      <c r="B26" t="s">
        <v>625</v>
      </c>
      <c r="C26">
        <v>2009</v>
      </c>
      <c r="D26" t="s">
        <v>330</v>
      </c>
      <c r="E26" t="s">
        <v>626</v>
      </c>
      <c r="F26" t="s">
        <v>626</v>
      </c>
      <c r="G26" t="s">
        <v>627</v>
      </c>
      <c r="H26" t="s">
        <v>73</v>
      </c>
      <c r="I26">
        <v>1967.16</v>
      </c>
      <c r="J26" t="s">
        <v>628</v>
      </c>
      <c r="K26" t="s">
        <v>628</v>
      </c>
      <c r="L26" t="s">
        <v>629</v>
      </c>
      <c r="M26">
        <v>6.76</v>
      </c>
      <c r="N26" t="s">
        <v>73</v>
      </c>
      <c r="O26">
        <v>6.76</v>
      </c>
      <c r="P26" t="s">
        <v>630</v>
      </c>
      <c r="Q26" t="s">
        <v>631</v>
      </c>
      <c r="R26" t="s">
        <v>78</v>
      </c>
      <c r="T26" t="s">
        <v>632</v>
      </c>
      <c r="U26" t="s">
        <v>633</v>
      </c>
      <c r="V26" t="s">
        <v>634</v>
      </c>
      <c r="W26" t="s">
        <v>78</v>
      </c>
      <c r="X26" t="s">
        <v>78</v>
      </c>
      <c r="Y26" t="s">
        <v>82</v>
      </c>
      <c r="Z26" t="s">
        <v>635</v>
      </c>
      <c r="AA26" t="s">
        <v>78</v>
      </c>
      <c r="AB26" t="s">
        <v>82</v>
      </c>
      <c r="AC26" t="s">
        <v>118</v>
      </c>
      <c r="AD26" t="s">
        <v>636</v>
      </c>
      <c r="AE26" t="s">
        <v>637</v>
      </c>
      <c r="AF26" t="s">
        <v>638</v>
      </c>
      <c r="AG26" t="s">
        <v>639</v>
      </c>
      <c r="AH26" t="s">
        <v>640</v>
      </c>
      <c r="AI26" t="s">
        <v>641</v>
      </c>
      <c r="AJ26" t="s">
        <v>642</v>
      </c>
      <c r="AK26">
        <v>4</v>
      </c>
      <c r="AL26" t="s">
        <v>94</v>
      </c>
      <c r="AM26" t="s">
        <v>95</v>
      </c>
      <c r="AN26" t="s">
        <v>94</v>
      </c>
      <c r="AO26" t="s">
        <v>96</v>
      </c>
      <c r="AP26" t="s">
        <v>643</v>
      </c>
      <c r="AQ26" t="s">
        <v>154</v>
      </c>
      <c r="AR26" t="s">
        <v>644</v>
      </c>
      <c r="AS26" t="s">
        <v>644</v>
      </c>
      <c r="AT26">
        <v>10</v>
      </c>
      <c r="AU26" t="s">
        <v>645</v>
      </c>
      <c r="AV26">
        <v>3</v>
      </c>
      <c r="AW26" t="s">
        <v>646</v>
      </c>
      <c r="AX26">
        <v>4</v>
      </c>
      <c r="AY26" t="s">
        <v>647</v>
      </c>
      <c r="AZ26">
        <v>2</v>
      </c>
      <c r="BA26" t="s">
        <v>648</v>
      </c>
      <c r="BB26">
        <v>1</v>
      </c>
      <c r="BD26">
        <v>0</v>
      </c>
      <c r="BF26">
        <v>0</v>
      </c>
      <c r="BG26">
        <v>1</v>
      </c>
      <c r="BH26" t="s">
        <v>134</v>
      </c>
      <c r="BI26" t="s">
        <v>78</v>
      </c>
      <c r="BJ26" t="s">
        <v>649</v>
      </c>
      <c r="BK26" t="s">
        <v>624</v>
      </c>
      <c r="BL26" t="s">
        <v>84</v>
      </c>
      <c r="BM26" s="3" t="s">
        <v>1286</v>
      </c>
      <c r="BN26" s="1" t="s">
        <v>498</v>
      </c>
      <c r="BO26" s="1" t="b">
        <f t="shared" si="0"/>
        <v>0</v>
      </c>
      <c r="BP26" t="s">
        <v>650</v>
      </c>
      <c r="BQ26" t="s">
        <v>651</v>
      </c>
    </row>
    <row r="27" spans="1:69" ht="15.75" hidden="1" x14ac:dyDescent="0.25">
      <c r="A27" t="s">
        <v>652</v>
      </c>
      <c r="B27" t="s">
        <v>653</v>
      </c>
      <c r="C27">
        <v>2013</v>
      </c>
      <c r="D27" t="s">
        <v>436</v>
      </c>
      <c r="E27" t="s">
        <v>516</v>
      </c>
      <c r="F27" t="s">
        <v>516</v>
      </c>
      <c r="G27" t="s">
        <v>654</v>
      </c>
      <c r="H27" t="s">
        <v>77</v>
      </c>
      <c r="J27" t="s">
        <v>517</v>
      </c>
      <c r="K27" t="s">
        <v>517</v>
      </c>
      <c r="L27" t="s">
        <v>655</v>
      </c>
      <c r="M27">
        <v>19600</v>
      </c>
      <c r="N27" t="s">
        <v>168</v>
      </c>
      <c r="O27">
        <v>0.02</v>
      </c>
      <c r="P27" t="s">
        <v>519</v>
      </c>
      <c r="Q27" t="s">
        <v>656</v>
      </c>
      <c r="R27" t="s">
        <v>78</v>
      </c>
      <c r="T27" t="s">
        <v>657</v>
      </c>
      <c r="U27" t="s">
        <v>658</v>
      </c>
      <c r="V27" t="s">
        <v>659</v>
      </c>
      <c r="W27" t="s">
        <v>78</v>
      </c>
      <c r="X27" t="s">
        <v>78</v>
      </c>
      <c r="Y27" t="s">
        <v>82</v>
      </c>
      <c r="Z27" t="s">
        <v>660</v>
      </c>
      <c r="AA27" t="s">
        <v>84</v>
      </c>
      <c r="AB27" t="s">
        <v>145</v>
      </c>
      <c r="AC27" t="s">
        <v>661</v>
      </c>
      <c r="AD27" t="s">
        <v>82</v>
      </c>
      <c r="AE27" t="s">
        <v>662</v>
      </c>
      <c r="AF27" t="s">
        <v>663</v>
      </c>
      <c r="AG27" t="s">
        <v>529</v>
      </c>
      <c r="AH27" t="s">
        <v>664</v>
      </c>
      <c r="AI27" t="s">
        <v>665</v>
      </c>
      <c r="AJ27" t="s">
        <v>666</v>
      </c>
      <c r="AK27">
        <v>5</v>
      </c>
      <c r="AL27" t="s">
        <v>209</v>
      </c>
      <c r="AM27" t="s">
        <v>95</v>
      </c>
      <c r="AN27" t="s">
        <v>209</v>
      </c>
      <c r="AO27" t="s">
        <v>210</v>
      </c>
      <c r="AP27" t="s">
        <v>667</v>
      </c>
      <c r="AQ27" t="s">
        <v>668</v>
      </c>
      <c r="AR27" t="s">
        <v>669</v>
      </c>
      <c r="AS27" t="s">
        <v>669</v>
      </c>
      <c r="AT27">
        <v>34</v>
      </c>
      <c r="AU27" t="s">
        <v>670</v>
      </c>
      <c r="AV27">
        <v>2</v>
      </c>
      <c r="AW27" t="s">
        <v>671</v>
      </c>
      <c r="AX27">
        <v>30</v>
      </c>
      <c r="AZ27">
        <v>0</v>
      </c>
      <c r="BA27" t="s">
        <v>672</v>
      </c>
      <c r="BB27">
        <v>1</v>
      </c>
      <c r="BD27">
        <v>0</v>
      </c>
      <c r="BE27" t="s">
        <v>673</v>
      </c>
      <c r="BF27">
        <v>1</v>
      </c>
      <c r="BG27">
        <v>1</v>
      </c>
      <c r="BH27" t="s">
        <v>161</v>
      </c>
      <c r="BI27" t="s">
        <v>84</v>
      </c>
      <c r="BJ27" t="s">
        <v>674</v>
      </c>
      <c r="BK27" t="s">
        <v>652</v>
      </c>
      <c r="BL27" t="s">
        <v>84</v>
      </c>
      <c r="BM27" s="3" t="s">
        <v>1287</v>
      </c>
      <c r="BN27" s="1" t="s">
        <v>716</v>
      </c>
      <c r="BO27" s="1" t="b">
        <f t="shared" si="0"/>
        <v>1</v>
      </c>
      <c r="BP27" t="s">
        <v>675</v>
      </c>
      <c r="BQ27" t="s">
        <v>676</v>
      </c>
    </row>
    <row r="28" spans="1:69" ht="15.75" hidden="1" x14ac:dyDescent="0.25">
      <c r="A28" t="s">
        <v>677</v>
      </c>
      <c r="B28" t="s">
        <v>678</v>
      </c>
      <c r="C28">
        <v>2024</v>
      </c>
      <c r="D28" t="s">
        <v>69</v>
      </c>
      <c r="E28" t="s">
        <v>679</v>
      </c>
      <c r="F28" t="s">
        <v>679</v>
      </c>
      <c r="G28" t="s">
        <v>680</v>
      </c>
      <c r="H28" t="s">
        <v>73</v>
      </c>
      <c r="I28">
        <v>0.188</v>
      </c>
      <c r="J28" t="s">
        <v>681</v>
      </c>
      <c r="K28" t="s">
        <v>681</v>
      </c>
      <c r="L28" t="s">
        <v>682</v>
      </c>
      <c r="M28">
        <v>0</v>
      </c>
      <c r="N28" t="s">
        <v>73</v>
      </c>
      <c r="O28">
        <v>0</v>
      </c>
      <c r="P28" t="s">
        <v>683</v>
      </c>
      <c r="Q28" t="s">
        <v>684</v>
      </c>
      <c r="R28" t="s">
        <v>78</v>
      </c>
      <c r="T28" t="s">
        <v>685</v>
      </c>
      <c r="U28" t="s">
        <v>686</v>
      </c>
      <c r="V28" t="s">
        <v>371</v>
      </c>
      <c r="W28" t="s">
        <v>78</v>
      </c>
      <c r="X28" t="s">
        <v>78</v>
      </c>
      <c r="Y28" t="s">
        <v>82</v>
      </c>
      <c r="Z28" t="s">
        <v>687</v>
      </c>
      <c r="AA28" t="s">
        <v>84</v>
      </c>
      <c r="AB28" t="s">
        <v>145</v>
      </c>
      <c r="AC28" t="s">
        <v>688</v>
      </c>
      <c r="AD28" t="s">
        <v>82</v>
      </c>
      <c r="AE28" t="s">
        <v>119</v>
      </c>
      <c r="AF28" t="s">
        <v>689</v>
      </c>
      <c r="AG28" t="s">
        <v>689</v>
      </c>
      <c r="AH28" t="s">
        <v>690</v>
      </c>
      <c r="AI28" t="s">
        <v>691</v>
      </c>
      <c r="AJ28" t="s">
        <v>692</v>
      </c>
      <c r="AK28">
        <v>2</v>
      </c>
      <c r="AL28" t="s">
        <v>693</v>
      </c>
      <c r="AM28" t="s">
        <v>95</v>
      </c>
      <c r="AN28" t="s">
        <v>693</v>
      </c>
      <c r="AO28" t="s">
        <v>694</v>
      </c>
      <c r="AP28" t="s">
        <v>695</v>
      </c>
      <c r="AQ28" t="s">
        <v>98</v>
      </c>
      <c r="AR28" t="s">
        <v>696</v>
      </c>
      <c r="AS28" t="s">
        <v>696</v>
      </c>
      <c r="AT28">
        <v>11</v>
      </c>
      <c r="AV28">
        <v>0</v>
      </c>
      <c r="AW28" t="s">
        <v>697</v>
      </c>
      <c r="AX28">
        <v>11</v>
      </c>
      <c r="AZ28">
        <v>0</v>
      </c>
      <c r="BB28">
        <v>0</v>
      </c>
      <c r="BD28">
        <v>0</v>
      </c>
      <c r="BF28">
        <v>0</v>
      </c>
      <c r="BG28">
        <v>0</v>
      </c>
      <c r="BH28" t="s">
        <v>134</v>
      </c>
      <c r="BI28" t="s">
        <v>78</v>
      </c>
      <c r="BJ28" t="s">
        <v>698</v>
      </c>
      <c r="BK28" t="s">
        <v>677</v>
      </c>
      <c r="BL28" t="s">
        <v>78</v>
      </c>
      <c r="BM28" s="3" t="s">
        <v>1288</v>
      </c>
      <c r="BN28" s="1" t="s">
        <v>498</v>
      </c>
      <c r="BO28" s="1" t="b">
        <f t="shared" si="0"/>
        <v>1</v>
      </c>
      <c r="BP28" t="s">
        <v>270</v>
      </c>
      <c r="BQ28" t="s">
        <v>699</v>
      </c>
    </row>
    <row r="29" spans="1:69" ht="15.75" hidden="1" x14ac:dyDescent="0.25">
      <c r="A29" t="s">
        <v>700</v>
      </c>
      <c r="B29" t="s">
        <v>701</v>
      </c>
      <c r="C29">
        <v>2005</v>
      </c>
      <c r="D29" t="s">
        <v>109</v>
      </c>
      <c r="E29" t="s">
        <v>110</v>
      </c>
      <c r="F29" t="s">
        <v>110</v>
      </c>
      <c r="G29" t="s">
        <v>390</v>
      </c>
      <c r="H29" t="s">
        <v>73</v>
      </c>
      <c r="I29">
        <v>57.85</v>
      </c>
      <c r="J29" t="s">
        <v>391</v>
      </c>
      <c r="K29" t="s">
        <v>296</v>
      </c>
      <c r="L29" t="s">
        <v>297</v>
      </c>
      <c r="M29">
        <v>0.65</v>
      </c>
      <c r="N29" t="s">
        <v>73</v>
      </c>
      <c r="O29">
        <v>0.65</v>
      </c>
      <c r="P29" t="s">
        <v>298</v>
      </c>
      <c r="Q29" t="s">
        <v>392</v>
      </c>
      <c r="R29" t="s">
        <v>78</v>
      </c>
      <c r="T29" t="s">
        <v>702</v>
      </c>
      <c r="U29" t="s">
        <v>703</v>
      </c>
      <c r="V29" t="s">
        <v>659</v>
      </c>
      <c r="W29" t="s">
        <v>78</v>
      </c>
      <c r="X29" t="s">
        <v>78</v>
      </c>
      <c r="Y29" t="s">
        <v>82</v>
      </c>
      <c r="Z29" t="s">
        <v>704</v>
      </c>
      <c r="AA29" t="s">
        <v>78</v>
      </c>
      <c r="AB29" t="s">
        <v>82</v>
      </c>
      <c r="AC29" t="s">
        <v>118</v>
      </c>
      <c r="AD29" t="s">
        <v>82</v>
      </c>
      <c r="AE29" t="s">
        <v>119</v>
      </c>
      <c r="AF29" t="s">
        <v>304</v>
      </c>
      <c r="AG29" t="s">
        <v>305</v>
      </c>
      <c r="AH29" t="s">
        <v>705</v>
      </c>
      <c r="AI29" t="s">
        <v>706</v>
      </c>
      <c r="AJ29" t="s">
        <v>707</v>
      </c>
      <c r="AK29">
        <v>2</v>
      </c>
      <c r="AL29" t="s">
        <v>94</v>
      </c>
      <c r="AM29" t="s">
        <v>95</v>
      </c>
      <c r="AN29" t="s">
        <v>94</v>
      </c>
      <c r="AO29" t="s">
        <v>96</v>
      </c>
      <c r="AP29" t="s">
        <v>309</v>
      </c>
      <c r="AQ29" t="s">
        <v>98</v>
      </c>
      <c r="AR29" t="s">
        <v>708</v>
      </c>
      <c r="AS29" t="s">
        <v>709</v>
      </c>
      <c r="AT29">
        <v>9</v>
      </c>
      <c r="AU29" t="s">
        <v>710</v>
      </c>
      <c r="AV29">
        <v>3</v>
      </c>
      <c r="AW29" t="s">
        <v>711</v>
      </c>
      <c r="AX29">
        <v>1</v>
      </c>
      <c r="AY29" t="s">
        <v>712</v>
      </c>
      <c r="AZ29">
        <v>1</v>
      </c>
      <c r="BA29" t="s">
        <v>713</v>
      </c>
      <c r="BB29">
        <v>2</v>
      </c>
      <c r="BD29">
        <v>0</v>
      </c>
      <c r="BE29" t="s">
        <v>714</v>
      </c>
      <c r="BF29">
        <v>2</v>
      </c>
      <c r="BG29">
        <v>2</v>
      </c>
      <c r="BH29" t="s">
        <v>715</v>
      </c>
      <c r="BI29" t="s">
        <v>78</v>
      </c>
      <c r="BJ29" t="s">
        <v>135</v>
      </c>
      <c r="BK29" t="s">
        <v>700</v>
      </c>
      <c r="BL29" t="s">
        <v>84</v>
      </c>
      <c r="BM29" s="3" t="s">
        <v>1289</v>
      </c>
      <c r="BN29" s="1" t="s">
        <v>716</v>
      </c>
      <c r="BO29" s="1" t="b">
        <f t="shared" si="0"/>
        <v>1</v>
      </c>
      <c r="BP29" t="s">
        <v>717</v>
      </c>
      <c r="BQ29" t="s">
        <v>718</v>
      </c>
    </row>
    <row r="30" spans="1:69" ht="15.75" hidden="1" x14ac:dyDescent="0.25">
      <c r="A30" t="s">
        <v>719</v>
      </c>
      <c r="B30" t="s">
        <v>720</v>
      </c>
      <c r="C30">
        <v>2023</v>
      </c>
      <c r="D30" t="s">
        <v>193</v>
      </c>
      <c r="E30" t="s">
        <v>342</v>
      </c>
      <c r="F30" t="s">
        <v>195</v>
      </c>
      <c r="G30" t="s">
        <v>721</v>
      </c>
      <c r="H30" t="s">
        <v>73</v>
      </c>
      <c r="I30">
        <v>2650.32</v>
      </c>
      <c r="J30" t="s">
        <v>197</v>
      </c>
      <c r="K30" t="s">
        <v>197</v>
      </c>
      <c r="L30" t="s">
        <v>198</v>
      </c>
      <c r="M30">
        <v>1.62</v>
      </c>
      <c r="N30" t="s">
        <v>73</v>
      </c>
      <c r="O30">
        <v>1.62</v>
      </c>
      <c r="P30" t="s">
        <v>722</v>
      </c>
      <c r="Q30" t="s">
        <v>723</v>
      </c>
      <c r="R30" t="s">
        <v>84</v>
      </c>
      <c r="S30" t="s">
        <v>724</v>
      </c>
      <c r="T30" t="s">
        <v>725</v>
      </c>
      <c r="U30" t="s">
        <v>726</v>
      </c>
      <c r="V30" t="s">
        <v>727</v>
      </c>
      <c r="W30" t="s">
        <v>78</v>
      </c>
      <c r="X30" t="s">
        <v>78</v>
      </c>
      <c r="Y30" t="s">
        <v>82</v>
      </c>
      <c r="Z30" t="s">
        <v>728</v>
      </c>
      <c r="AA30" t="s">
        <v>78</v>
      </c>
      <c r="AB30" t="s">
        <v>82</v>
      </c>
      <c r="AC30" t="s">
        <v>118</v>
      </c>
      <c r="AD30" t="s">
        <v>82</v>
      </c>
      <c r="AE30" t="s">
        <v>119</v>
      </c>
      <c r="AF30" t="s">
        <v>729</v>
      </c>
      <c r="AG30" t="s">
        <v>472</v>
      </c>
      <c r="AH30" t="s">
        <v>730</v>
      </c>
      <c r="AI30" t="s">
        <v>731</v>
      </c>
      <c r="AJ30" t="s">
        <v>732</v>
      </c>
      <c r="AK30">
        <v>2</v>
      </c>
      <c r="AL30" t="s">
        <v>733</v>
      </c>
      <c r="AM30" t="s">
        <v>125</v>
      </c>
      <c r="AN30" t="s">
        <v>734</v>
      </c>
      <c r="AO30" t="s">
        <v>127</v>
      </c>
      <c r="AP30" t="s">
        <v>735</v>
      </c>
      <c r="AQ30" t="s">
        <v>98</v>
      </c>
      <c r="AR30" t="s">
        <v>736</v>
      </c>
      <c r="AS30" t="s">
        <v>736</v>
      </c>
      <c r="AT30">
        <v>16</v>
      </c>
      <c r="AU30" t="s">
        <v>737</v>
      </c>
      <c r="AV30">
        <v>1</v>
      </c>
      <c r="AW30" t="s">
        <v>738</v>
      </c>
      <c r="AX30">
        <v>13</v>
      </c>
      <c r="AY30" t="s">
        <v>739</v>
      </c>
      <c r="AZ30">
        <v>1</v>
      </c>
      <c r="BA30" t="s">
        <v>740</v>
      </c>
      <c r="BB30">
        <v>1</v>
      </c>
      <c r="BD30">
        <v>0</v>
      </c>
      <c r="BF30">
        <v>0</v>
      </c>
      <c r="BG30">
        <v>1</v>
      </c>
      <c r="BH30" t="s">
        <v>78</v>
      </c>
      <c r="BI30" t="s">
        <v>78</v>
      </c>
      <c r="BJ30" t="s">
        <v>135</v>
      </c>
      <c r="BK30" t="s">
        <v>719</v>
      </c>
      <c r="BL30" t="s">
        <v>78</v>
      </c>
      <c r="BM30" s="3" t="s">
        <v>1290</v>
      </c>
      <c r="BN30" s="1" t="s">
        <v>498</v>
      </c>
      <c r="BO30" s="1" t="b">
        <f t="shared" si="0"/>
        <v>1</v>
      </c>
      <c r="BP30" t="s">
        <v>270</v>
      </c>
      <c r="BQ30" t="s">
        <v>741</v>
      </c>
    </row>
    <row r="31" spans="1:69" ht="15.75" hidden="1" x14ac:dyDescent="0.25">
      <c r="A31" t="s">
        <v>742</v>
      </c>
      <c r="B31" t="s">
        <v>743</v>
      </c>
      <c r="C31">
        <v>2015</v>
      </c>
      <c r="D31" t="s">
        <v>319</v>
      </c>
      <c r="E31" t="s">
        <v>744</v>
      </c>
      <c r="F31" t="s">
        <v>71</v>
      </c>
      <c r="G31" t="s">
        <v>721</v>
      </c>
      <c r="H31" t="s">
        <v>73</v>
      </c>
      <c r="I31">
        <v>2650.32</v>
      </c>
      <c r="J31" t="s">
        <v>745</v>
      </c>
      <c r="K31" t="s">
        <v>746</v>
      </c>
      <c r="L31" t="s">
        <v>747</v>
      </c>
      <c r="M31">
        <v>0.51</v>
      </c>
      <c r="N31" t="s">
        <v>73</v>
      </c>
      <c r="O31">
        <v>0.51</v>
      </c>
      <c r="P31" t="s">
        <v>748</v>
      </c>
      <c r="Q31" t="s">
        <v>749</v>
      </c>
      <c r="R31" t="s">
        <v>84</v>
      </c>
      <c r="S31" t="s">
        <v>750</v>
      </c>
      <c r="T31" t="s">
        <v>751</v>
      </c>
      <c r="U31" t="s">
        <v>658</v>
      </c>
      <c r="V31" t="s">
        <v>659</v>
      </c>
      <c r="W31" t="s">
        <v>78</v>
      </c>
      <c r="X31" t="s">
        <v>78</v>
      </c>
      <c r="Y31" t="s">
        <v>82</v>
      </c>
      <c r="Z31" t="s">
        <v>752</v>
      </c>
      <c r="AA31" t="s">
        <v>84</v>
      </c>
      <c r="AB31" t="s">
        <v>85</v>
      </c>
      <c r="AC31" t="s">
        <v>753</v>
      </c>
      <c r="AD31" t="s">
        <v>82</v>
      </c>
      <c r="AE31" t="s">
        <v>754</v>
      </c>
      <c r="AF31" t="s">
        <v>755</v>
      </c>
      <c r="AG31" t="s">
        <v>756</v>
      </c>
      <c r="AH31" t="s">
        <v>757</v>
      </c>
      <c r="AI31" t="s">
        <v>758</v>
      </c>
      <c r="AJ31" t="s">
        <v>759</v>
      </c>
      <c r="AK31">
        <v>4</v>
      </c>
      <c r="AL31" t="s">
        <v>94</v>
      </c>
      <c r="AM31" t="s">
        <v>95</v>
      </c>
      <c r="AN31" t="s">
        <v>94</v>
      </c>
      <c r="AO31" t="s">
        <v>96</v>
      </c>
      <c r="AP31" t="s">
        <v>760</v>
      </c>
      <c r="AQ31" t="s">
        <v>761</v>
      </c>
      <c r="AR31" t="s">
        <v>762</v>
      </c>
      <c r="AS31" t="s">
        <v>762</v>
      </c>
      <c r="AT31">
        <v>11</v>
      </c>
      <c r="AU31" t="s">
        <v>763</v>
      </c>
      <c r="AV31">
        <v>3</v>
      </c>
      <c r="AW31" t="s">
        <v>764</v>
      </c>
      <c r="AX31">
        <v>3</v>
      </c>
      <c r="AY31" t="s">
        <v>765</v>
      </c>
      <c r="AZ31">
        <v>1</v>
      </c>
      <c r="BA31" t="s">
        <v>766</v>
      </c>
      <c r="BB31">
        <v>2</v>
      </c>
      <c r="BC31" t="s">
        <v>767</v>
      </c>
      <c r="BD31">
        <v>2</v>
      </c>
      <c r="BF31">
        <v>0</v>
      </c>
      <c r="BG31">
        <v>2</v>
      </c>
      <c r="BH31" t="s">
        <v>78</v>
      </c>
      <c r="BI31" t="s">
        <v>78</v>
      </c>
      <c r="BJ31" t="s">
        <v>768</v>
      </c>
      <c r="BK31" t="s">
        <v>742</v>
      </c>
      <c r="BL31" t="s">
        <v>78</v>
      </c>
      <c r="BM31" s="3" t="s">
        <v>1291</v>
      </c>
      <c r="BN31" s="1" t="s">
        <v>498</v>
      </c>
      <c r="BO31" s="1" t="b">
        <f t="shared" si="0"/>
        <v>1</v>
      </c>
      <c r="BP31" t="s">
        <v>270</v>
      </c>
      <c r="BQ31" t="s">
        <v>769</v>
      </c>
    </row>
    <row r="32" spans="1:69" ht="15.75" hidden="1" x14ac:dyDescent="0.25">
      <c r="A32" t="s">
        <v>770</v>
      </c>
      <c r="B32" t="s">
        <v>771</v>
      </c>
      <c r="C32">
        <v>2021</v>
      </c>
      <c r="D32" t="s">
        <v>772</v>
      </c>
      <c r="E32" t="s">
        <v>773</v>
      </c>
      <c r="F32" t="s">
        <v>773</v>
      </c>
      <c r="G32" t="s">
        <v>774</v>
      </c>
      <c r="H32" t="s">
        <v>73</v>
      </c>
      <c r="I32">
        <v>438.18</v>
      </c>
      <c r="J32" t="s">
        <v>775</v>
      </c>
      <c r="K32" t="s">
        <v>775</v>
      </c>
      <c r="L32" t="s">
        <v>776</v>
      </c>
      <c r="M32">
        <v>2.1800000000000002</v>
      </c>
      <c r="N32" t="s">
        <v>73</v>
      </c>
      <c r="O32">
        <v>2.1800000000000002</v>
      </c>
      <c r="P32" t="s">
        <v>777</v>
      </c>
      <c r="Q32" t="s">
        <v>778</v>
      </c>
      <c r="R32" t="s">
        <v>78</v>
      </c>
      <c r="T32" t="s">
        <v>779</v>
      </c>
      <c r="U32" t="s">
        <v>348</v>
      </c>
      <c r="V32" t="s">
        <v>349</v>
      </c>
      <c r="W32" t="s">
        <v>84</v>
      </c>
      <c r="X32" t="s">
        <v>84</v>
      </c>
      <c r="Y32" t="s">
        <v>253</v>
      </c>
      <c r="Z32" t="s">
        <v>780</v>
      </c>
      <c r="AA32" t="s">
        <v>78</v>
      </c>
      <c r="AB32" t="s">
        <v>82</v>
      </c>
      <c r="AC32" t="s">
        <v>781</v>
      </c>
      <c r="AD32" t="s">
        <v>782</v>
      </c>
      <c r="AE32" t="s">
        <v>783</v>
      </c>
      <c r="AF32" t="s">
        <v>784</v>
      </c>
      <c r="AG32" t="s">
        <v>785</v>
      </c>
      <c r="AH32" t="s">
        <v>786</v>
      </c>
      <c r="AI32" t="s">
        <v>787</v>
      </c>
      <c r="AJ32" t="s">
        <v>788</v>
      </c>
      <c r="AK32">
        <v>3</v>
      </c>
      <c r="AL32" t="s">
        <v>209</v>
      </c>
      <c r="AM32" t="s">
        <v>95</v>
      </c>
      <c r="AN32" t="s">
        <v>209</v>
      </c>
      <c r="AO32" t="s">
        <v>210</v>
      </c>
      <c r="AP32" t="s">
        <v>789</v>
      </c>
      <c r="AQ32" t="s">
        <v>98</v>
      </c>
      <c r="AR32" t="s">
        <v>790</v>
      </c>
      <c r="AS32" t="s">
        <v>790</v>
      </c>
      <c r="AT32">
        <v>20</v>
      </c>
      <c r="AU32" t="s">
        <v>791</v>
      </c>
      <c r="AV32">
        <v>1</v>
      </c>
      <c r="AW32" t="s">
        <v>792</v>
      </c>
      <c r="AX32">
        <v>17</v>
      </c>
      <c r="AZ32">
        <v>0</v>
      </c>
      <c r="BA32" t="s">
        <v>793</v>
      </c>
      <c r="BB32">
        <v>1</v>
      </c>
      <c r="BC32" t="s">
        <v>794</v>
      </c>
      <c r="BD32">
        <v>1</v>
      </c>
      <c r="BF32">
        <v>0</v>
      </c>
      <c r="BG32">
        <v>1</v>
      </c>
      <c r="BH32" t="s">
        <v>795</v>
      </c>
      <c r="BI32" t="s">
        <v>84</v>
      </c>
      <c r="BJ32" t="s">
        <v>796</v>
      </c>
      <c r="BK32" t="s">
        <v>770</v>
      </c>
      <c r="BL32" t="s">
        <v>84</v>
      </c>
      <c r="BM32" s="3" t="s">
        <v>1292</v>
      </c>
      <c r="BN32" s="1" t="s">
        <v>716</v>
      </c>
      <c r="BO32" s="1" t="b">
        <f t="shared" si="0"/>
        <v>1</v>
      </c>
      <c r="BP32" t="s">
        <v>797</v>
      </c>
      <c r="BQ32" t="s">
        <v>798</v>
      </c>
    </row>
    <row r="33" spans="1:70" ht="15.75" hidden="1" x14ac:dyDescent="0.25">
      <c r="A33" t="s">
        <v>799</v>
      </c>
      <c r="B33" t="s">
        <v>800</v>
      </c>
      <c r="C33">
        <v>2020</v>
      </c>
      <c r="D33" t="s">
        <v>69</v>
      </c>
      <c r="E33" t="s">
        <v>679</v>
      </c>
      <c r="F33" t="s">
        <v>679</v>
      </c>
      <c r="G33" t="s">
        <v>801</v>
      </c>
      <c r="H33" t="s">
        <v>73</v>
      </c>
      <c r="I33">
        <v>156</v>
      </c>
      <c r="J33" t="s">
        <v>802</v>
      </c>
      <c r="K33" t="s">
        <v>802</v>
      </c>
      <c r="L33" t="s">
        <v>803</v>
      </c>
      <c r="M33">
        <v>0.79</v>
      </c>
      <c r="N33" t="s">
        <v>73</v>
      </c>
      <c r="O33">
        <v>0.79</v>
      </c>
      <c r="P33" t="s">
        <v>804</v>
      </c>
      <c r="Q33" t="s">
        <v>805</v>
      </c>
      <c r="R33" t="s">
        <v>78</v>
      </c>
      <c r="T33" t="s">
        <v>806</v>
      </c>
      <c r="U33" t="s">
        <v>807</v>
      </c>
      <c r="V33" t="s">
        <v>278</v>
      </c>
      <c r="W33" t="s">
        <v>78</v>
      </c>
      <c r="X33" t="s">
        <v>84</v>
      </c>
      <c r="Y33" t="s">
        <v>445</v>
      </c>
      <c r="Z33" t="s">
        <v>808</v>
      </c>
      <c r="AA33" t="s">
        <v>84</v>
      </c>
      <c r="AB33" t="s">
        <v>145</v>
      </c>
      <c r="AC33" t="s">
        <v>809</v>
      </c>
      <c r="AD33" t="s">
        <v>82</v>
      </c>
      <c r="AE33" t="s">
        <v>119</v>
      </c>
      <c r="AF33" t="s">
        <v>810</v>
      </c>
      <c r="AG33" t="s">
        <v>811</v>
      </c>
      <c r="AH33" t="s">
        <v>812</v>
      </c>
      <c r="AI33" t="s">
        <v>813</v>
      </c>
      <c r="AJ33" t="s">
        <v>814</v>
      </c>
      <c r="AK33">
        <v>2</v>
      </c>
      <c r="AL33" t="s">
        <v>94</v>
      </c>
      <c r="AM33" t="s">
        <v>95</v>
      </c>
      <c r="AN33" t="s">
        <v>94</v>
      </c>
      <c r="AO33" t="s">
        <v>96</v>
      </c>
      <c r="AP33" t="s">
        <v>815</v>
      </c>
      <c r="AQ33" t="s">
        <v>98</v>
      </c>
      <c r="AR33" t="s">
        <v>816</v>
      </c>
      <c r="AS33" t="s">
        <v>817</v>
      </c>
      <c r="AT33">
        <v>10</v>
      </c>
      <c r="AU33" t="s">
        <v>818</v>
      </c>
      <c r="AV33">
        <v>6</v>
      </c>
      <c r="AW33" t="s">
        <v>819</v>
      </c>
      <c r="AX33">
        <v>1</v>
      </c>
      <c r="AY33" t="s">
        <v>820</v>
      </c>
      <c r="AZ33">
        <v>1</v>
      </c>
      <c r="BA33" t="s">
        <v>821</v>
      </c>
      <c r="BB33">
        <v>1</v>
      </c>
      <c r="BC33" t="s">
        <v>822</v>
      </c>
      <c r="BD33">
        <v>1</v>
      </c>
      <c r="BF33">
        <v>0</v>
      </c>
      <c r="BG33">
        <v>1</v>
      </c>
      <c r="BH33" t="s">
        <v>229</v>
      </c>
      <c r="BJ33" t="s">
        <v>135</v>
      </c>
      <c r="BK33" t="s">
        <v>799</v>
      </c>
      <c r="BL33" t="s">
        <v>78</v>
      </c>
      <c r="BM33" s="3" t="s">
        <v>1293</v>
      </c>
      <c r="BN33" s="1" t="s">
        <v>498</v>
      </c>
      <c r="BO33" s="1" t="b">
        <f t="shared" si="0"/>
        <v>1</v>
      </c>
      <c r="BP33" t="s">
        <v>270</v>
      </c>
      <c r="BQ33" t="s">
        <v>823</v>
      </c>
      <c r="BR33" t="s">
        <v>84</v>
      </c>
    </row>
    <row r="34" spans="1:70" ht="15.75" hidden="1" x14ac:dyDescent="0.25">
      <c r="A34" t="s">
        <v>824</v>
      </c>
      <c r="B34" t="s">
        <v>108</v>
      </c>
      <c r="C34">
        <v>2010</v>
      </c>
      <c r="D34" t="s">
        <v>109</v>
      </c>
      <c r="E34" t="s">
        <v>825</v>
      </c>
      <c r="F34" t="s">
        <v>71</v>
      </c>
      <c r="G34" t="s">
        <v>826</v>
      </c>
      <c r="H34" t="s">
        <v>73</v>
      </c>
      <c r="I34">
        <v>400</v>
      </c>
      <c r="J34" t="s">
        <v>112</v>
      </c>
      <c r="K34" t="s">
        <v>112</v>
      </c>
      <c r="L34" t="s">
        <v>77</v>
      </c>
      <c r="P34" t="s">
        <v>827</v>
      </c>
      <c r="Q34" t="s">
        <v>828</v>
      </c>
      <c r="R34" t="s">
        <v>78</v>
      </c>
      <c r="T34" t="s">
        <v>829</v>
      </c>
      <c r="U34" t="s">
        <v>658</v>
      </c>
      <c r="V34" t="s">
        <v>659</v>
      </c>
      <c r="W34" t="s">
        <v>78</v>
      </c>
      <c r="X34" t="s">
        <v>78</v>
      </c>
      <c r="Y34" t="s">
        <v>82</v>
      </c>
      <c r="Z34" t="s">
        <v>830</v>
      </c>
      <c r="AA34" t="s">
        <v>84</v>
      </c>
      <c r="AB34" t="s">
        <v>255</v>
      </c>
      <c r="AC34" t="s">
        <v>831</v>
      </c>
      <c r="AD34" t="s">
        <v>82</v>
      </c>
      <c r="AE34" t="s">
        <v>832</v>
      </c>
      <c r="AF34" t="s">
        <v>833</v>
      </c>
      <c r="AG34" t="s">
        <v>834</v>
      </c>
      <c r="AH34" t="s">
        <v>835</v>
      </c>
      <c r="AI34" t="s">
        <v>836</v>
      </c>
      <c r="AJ34" t="s">
        <v>837</v>
      </c>
      <c r="AK34">
        <v>2</v>
      </c>
      <c r="AL34" t="s">
        <v>94</v>
      </c>
      <c r="AM34" t="s">
        <v>95</v>
      </c>
      <c r="AN34" t="s">
        <v>94</v>
      </c>
      <c r="AO34" t="s">
        <v>96</v>
      </c>
      <c r="AP34" t="s">
        <v>838</v>
      </c>
      <c r="AQ34" t="s">
        <v>839</v>
      </c>
      <c r="AR34" t="s">
        <v>840</v>
      </c>
      <c r="AS34" t="s">
        <v>840</v>
      </c>
      <c r="AT34">
        <v>6</v>
      </c>
      <c r="AU34" t="s">
        <v>841</v>
      </c>
      <c r="AV34">
        <v>2</v>
      </c>
      <c r="AW34" t="s">
        <v>842</v>
      </c>
      <c r="AX34">
        <v>2</v>
      </c>
      <c r="AY34" t="s">
        <v>843</v>
      </c>
      <c r="AZ34">
        <v>1</v>
      </c>
      <c r="BA34" t="s">
        <v>844</v>
      </c>
      <c r="BB34">
        <v>1</v>
      </c>
      <c r="BD34">
        <v>0</v>
      </c>
      <c r="BF34">
        <v>0</v>
      </c>
      <c r="BG34">
        <v>1</v>
      </c>
      <c r="BH34" t="s">
        <v>845</v>
      </c>
      <c r="BI34" t="s">
        <v>84</v>
      </c>
      <c r="BJ34" t="s">
        <v>846</v>
      </c>
      <c r="BK34" t="s">
        <v>824</v>
      </c>
      <c r="BL34" t="s">
        <v>78</v>
      </c>
      <c r="BM34" s="3" t="s">
        <v>1294</v>
      </c>
      <c r="BN34" s="1" t="s">
        <v>498</v>
      </c>
      <c r="BO34" s="1" t="b">
        <f t="shared" si="0"/>
        <v>1</v>
      </c>
      <c r="BP34" t="s">
        <v>270</v>
      </c>
      <c r="BQ34" t="s">
        <v>847</v>
      </c>
    </row>
    <row r="35" spans="1:70" ht="15.75" hidden="1" x14ac:dyDescent="0.25">
      <c r="A35" t="s">
        <v>848</v>
      </c>
      <c r="B35" t="s">
        <v>849</v>
      </c>
      <c r="C35">
        <v>2019</v>
      </c>
      <c r="D35" t="s">
        <v>319</v>
      </c>
      <c r="E35" t="s">
        <v>850</v>
      </c>
      <c r="F35" t="s">
        <v>850</v>
      </c>
      <c r="G35" t="s">
        <v>851</v>
      </c>
      <c r="H35" t="s">
        <v>73</v>
      </c>
      <c r="I35">
        <v>270</v>
      </c>
      <c r="J35" t="s">
        <v>852</v>
      </c>
      <c r="K35" t="s">
        <v>853</v>
      </c>
      <c r="L35" t="s">
        <v>854</v>
      </c>
      <c r="M35">
        <v>0.44</v>
      </c>
      <c r="N35" t="s">
        <v>73</v>
      </c>
      <c r="O35">
        <v>0.44</v>
      </c>
      <c r="P35" t="s">
        <v>855</v>
      </c>
      <c r="Q35" t="s">
        <v>856</v>
      </c>
      <c r="R35" t="s">
        <v>84</v>
      </c>
      <c r="S35" t="s">
        <v>857</v>
      </c>
      <c r="T35" t="s">
        <v>858</v>
      </c>
      <c r="U35" t="s">
        <v>633</v>
      </c>
      <c r="V35" t="s">
        <v>634</v>
      </c>
      <c r="W35" t="s">
        <v>84</v>
      </c>
      <c r="X35" t="s">
        <v>84</v>
      </c>
      <c r="Y35" t="s">
        <v>143</v>
      </c>
      <c r="Z35" t="s">
        <v>859</v>
      </c>
      <c r="AA35" t="s">
        <v>84</v>
      </c>
      <c r="AB35" t="s">
        <v>145</v>
      </c>
      <c r="AC35" t="s">
        <v>860</v>
      </c>
      <c r="AD35" t="s">
        <v>82</v>
      </c>
      <c r="AE35" t="s">
        <v>861</v>
      </c>
      <c r="AF35" t="s">
        <v>862</v>
      </c>
      <c r="AG35" t="s">
        <v>176</v>
      </c>
      <c r="AH35" t="s">
        <v>863</v>
      </c>
      <c r="AI35" t="s">
        <v>864</v>
      </c>
      <c r="AJ35" t="s">
        <v>865</v>
      </c>
      <c r="AK35">
        <v>4</v>
      </c>
      <c r="AL35" t="s">
        <v>866</v>
      </c>
      <c r="AM35" t="s">
        <v>125</v>
      </c>
      <c r="AN35" t="s">
        <v>867</v>
      </c>
      <c r="AO35" t="s">
        <v>127</v>
      </c>
      <c r="AP35" t="s">
        <v>868</v>
      </c>
      <c r="AQ35" t="s">
        <v>869</v>
      </c>
      <c r="AR35" t="s">
        <v>870</v>
      </c>
      <c r="AS35" t="s">
        <v>871</v>
      </c>
      <c r="AT35">
        <v>11</v>
      </c>
      <c r="AU35" t="s">
        <v>872</v>
      </c>
      <c r="AV35">
        <v>4</v>
      </c>
      <c r="AW35" t="s">
        <v>873</v>
      </c>
      <c r="AX35">
        <v>2</v>
      </c>
      <c r="AY35" t="s">
        <v>406</v>
      </c>
      <c r="AZ35">
        <v>1</v>
      </c>
      <c r="BA35" t="s">
        <v>874</v>
      </c>
      <c r="BB35">
        <v>2</v>
      </c>
      <c r="BC35" t="s">
        <v>875</v>
      </c>
      <c r="BD35">
        <v>1</v>
      </c>
      <c r="BE35" t="s">
        <v>876</v>
      </c>
      <c r="BF35">
        <v>1</v>
      </c>
      <c r="BG35">
        <v>2</v>
      </c>
      <c r="BH35" t="s">
        <v>877</v>
      </c>
      <c r="BI35" t="s">
        <v>78</v>
      </c>
      <c r="BJ35" t="s">
        <v>878</v>
      </c>
      <c r="BK35" t="s">
        <v>848</v>
      </c>
      <c r="BL35" t="s">
        <v>84</v>
      </c>
      <c r="BM35" s="3" t="s">
        <v>1295</v>
      </c>
      <c r="BN35" s="1" t="s">
        <v>716</v>
      </c>
      <c r="BO35" s="1" t="b">
        <f t="shared" si="0"/>
        <v>1</v>
      </c>
      <c r="BP35" t="s">
        <v>879</v>
      </c>
      <c r="BQ35" t="s">
        <v>880</v>
      </c>
    </row>
    <row r="36" spans="1:70" ht="15.75" hidden="1" x14ac:dyDescent="0.25">
      <c r="A36" t="s">
        <v>881</v>
      </c>
      <c r="C36">
        <v>2019</v>
      </c>
      <c r="D36" t="s">
        <v>882</v>
      </c>
      <c r="E36" t="s">
        <v>883</v>
      </c>
      <c r="F36" t="s">
        <v>883</v>
      </c>
      <c r="G36" t="s">
        <v>884</v>
      </c>
      <c r="H36" t="s">
        <v>73</v>
      </c>
      <c r="I36">
        <v>10208.25</v>
      </c>
      <c r="J36" t="s">
        <v>885</v>
      </c>
      <c r="K36" t="s">
        <v>885</v>
      </c>
      <c r="L36" t="s">
        <v>886</v>
      </c>
      <c r="M36">
        <v>2.25</v>
      </c>
      <c r="N36" t="s">
        <v>73</v>
      </c>
      <c r="O36">
        <v>2.25</v>
      </c>
      <c r="P36" t="s">
        <v>887</v>
      </c>
      <c r="Q36" t="s">
        <v>77</v>
      </c>
      <c r="R36" t="s">
        <v>78</v>
      </c>
      <c r="T36" t="s">
        <v>888</v>
      </c>
      <c r="U36" t="s">
        <v>658</v>
      </c>
      <c r="V36" t="s">
        <v>659</v>
      </c>
      <c r="W36" t="s">
        <v>84</v>
      </c>
      <c r="X36" t="s">
        <v>84</v>
      </c>
      <c r="Y36" t="s">
        <v>143</v>
      </c>
      <c r="Z36" t="s">
        <v>889</v>
      </c>
      <c r="AA36" t="s">
        <v>78</v>
      </c>
      <c r="AB36" t="s">
        <v>82</v>
      </c>
      <c r="AC36" t="s">
        <v>118</v>
      </c>
      <c r="AD36" t="s">
        <v>890</v>
      </c>
      <c r="AE36" t="s">
        <v>891</v>
      </c>
      <c r="AF36" t="s">
        <v>892</v>
      </c>
      <c r="AG36" t="s">
        <v>893</v>
      </c>
      <c r="AH36" t="s">
        <v>894</v>
      </c>
      <c r="AI36" t="s">
        <v>895</v>
      </c>
      <c r="AJ36" t="s">
        <v>896</v>
      </c>
      <c r="AK36">
        <v>5</v>
      </c>
      <c r="AL36" t="s">
        <v>897</v>
      </c>
      <c r="AM36" t="s">
        <v>125</v>
      </c>
      <c r="AN36" t="s">
        <v>898</v>
      </c>
      <c r="AO36" t="s">
        <v>127</v>
      </c>
      <c r="AP36" t="s">
        <v>899</v>
      </c>
      <c r="AQ36" t="s">
        <v>98</v>
      </c>
      <c r="AR36" t="s">
        <v>900</v>
      </c>
      <c r="AS36" t="s">
        <v>900</v>
      </c>
      <c r="AT36">
        <v>5</v>
      </c>
      <c r="AV36">
        <v>0</v>
      </c>
      <c r="AW36" t="s">
        <v>901</v>
      </c>
      <c r="AX36">
        <v>3</v>
      </c>
      <c r="AZ36">
        <v>0</v>
      </c>
      <c r="BA36" t="s">
        <v>902</v>
      </c>
      <c r="BB36">
        <v>2</v>
      </c>
      <c r="BD36">
        <v>0</v>
      </c>
      <c r="BF36">
        <v>0</v>
      </c>
      <c r="BG36">
        <v>2</v>
      </c>
      <c r="BH36" t="s">
        <v>903</v>
      </c>
      <c r="BI36" t="s">
        <v>84</v>
      </c>
      <c r="BJ36" t="s">
        <v>904</v>
      </c>
      <c r="BK36" t="s">
        <v>881</v>
      </c>
      <c r="BL36" t="s">
        <v>78</v>
      </c>
      <c r="BM36" s="3" t="s">
        <v>1296</v>
      </c>
      <c r="BN36" s="1" t="s">
        <v>498</v>
      </c>
      <c r="BO36" s="1" t="b">
        <f t="shared" si="0"/>
        <v>1</v>
      </c>
      <c r="BP36" t="s">
        <v>905</v>
      </c>
      <c r="BQ36" t="s">
        <v>906</v>
      </c>
    </row>
    <row r="37" spans="1:70" ht="15.75" hidden="1" x14ac:dyDescent="0.25">
      <c r="A37" t="s">
        <v>907</v>
      </c>
      <c r="B37" t="s">
        <v>580</v>
      </c>
      <c r="C37">
        <v>2023</v>
      </c>
      <c r="D37" t="s">
        <v>581</v>
      </c>
      <c r="E37" t="s">
        <v>908</v>
      </c>
      <c r="F37" t="s">
        <v>560</v>
      </c>
      <c r="G37" t="s">
        <v>909</v>
      </c>
      <c r="H37" t="s">
        <v>73</v>
      </c>
      <c r="I37">
        <v>2583.6</v>
      </c>
      <c r="J37" t="s">
        <v>910</v>
      </c>
      <c r="K37" t="s">
        <v>583</v>
      </c>
      <c r="L37" t="s">
        <v>584</v>
      </c>
      <c r="M37">
        <v>1.2</v>
      </c>
      <c r="N37" t="s">
        <v>73</v>
      </c>
      <c r="O37">
        <v>1.2</v>
      </c>
      <c r="P37" t="s">
        <v>585</v>
      </c>
      <c r="Q37" t="s">
        <v>911</v>
      </c>
      <c r="R37" t="s">
        <v>78</v>
      </c>
      <c r="T37" t="s">
        <v>912</v>
      </c>
      <c r="U37" t="s">
        <v>686</v>
      </c>
      <c r="V37" t="s">
        <v>371</v>
      </c>
      <c r="W37" t="s">
        <v>78</v>
      </c>
      <c r="X37" t="s">
        <v>78</v>
      </c>
      <c r="Y37" t="s">
        <v>82</v>
      </c>
      <c r="Z37" t="s">
        <v>913</v>
      </c>
      <c r="AA37" t="s">
        <v>84</v>
      </c>
      <c r="AB37" t="s">
        <v>914</v>
      </c>
      <c r="AC37" t="s">
        <v>915</v>
      </c>
      <c r="AD37" t="s">
        <v>82</v>
      </c>
      <c r="AE37" t="s">
        <v>119</v>
      </c>
      <c r="AF37" t="s">
        <v>591</v>
      </c>
      <c r="AG37" t="s">
        <v>592</v>
      </c>
      <c r="AH37" t="s">
        <v>916</v>
      </c>
      <c r="AI37" t="s">
        <v>917</v>
      </c>
      <c r="AJ37" t="s">
        <v>918</v>
      </c>
      <c r="AK37">
        <v>3</v>
      </c>
      <c r="AL37" t="s">
        <v>919</v>
      </c>
      <c r="AM37" t="s">
        <v>125</v>
      </c>
      <c r="AN37" t="s">
        <v>597</v>
      </c>
      <c r="AO37" t="s">
        <v>127</v>
      </c>
      <c r="AP37" t="s">
        <v>598</v>
      </c>
      <c r="AQ37" t="s">
        <v>98</v>
      </c>
      <c r="AR37" t="s">
        <v>920</v>
      </c>
      <c r="AS37" t="s">
        <v>920</v>
      </c>
      <c r="AT37">
        <v>11</v>
      </c>
      <c r="AV37">
        <v>0</v>
      </c>
      <c r="AW37" t="s">
        <v>921</v>
      </c>
      <c r="AX37">
        <v>1</v>
      </c>
      <c r="AZ37">
        <v>0</v>
      </c>
      <c r="BA37" t="s">
        <v>922</v>
      </c>
      <c r="BB37">
        <v>10</v>
      </c>
      <c r="BD37">
        <v>0</v>
      </c>
      <c r="BF37">
        <v>0</v>
      </c>
      <c r="BG37">
        <v>10</v>
      </c>
      <c r="BH37" t="s">
        <v>385</v>
      </c>
      <c r="BI37" t="s">
        <v>78</v>
      </c>
      <c r="BJ37" t="s">
        <v>923</v>
      </c>
      <c r="BK37" t="s">
        <v>907</v>
      </c>
      <c r="BL37" t="s">
        <v>78</v>
      </c>
      <c r="BM37" s="3" t="s">
        <v>1297</v>
      </c>
      <c r="BN37" s="1" t="s">
        <v>498</v>
      </c>
      <c r="BO37" s="1" t="b">
        <f t="shared" si="0"/>
        <v>1</v>
      </c>
      <c r="BP37" t="s">
        <v>270</v>
      </c>
      <c r="BQ37" t="s">
        <v>924</v>
      </c>
    </row>
    <row r="38" spans="1:70" ht="15.75" hidden="1" x14ac:dyDescent="0.25">
      <c r="A38" t="s">
        <v>925</v>
      </c>
      <c r="B38" t="s">
        <v>926</v>
      </c>
      <c r="C38">
        <v>2016</v>
      </c>
      <c r="D38" t="s">
        <v>436</v>
      </c>
      <c r="E38" t="s">
        <v>927</v>
      </c>
      <c r="F38" t="s">
        <v>927</v>
      </c>
      <c r="G38" t="s">
        <v>77</v>
      </c>
      <c r="H38" t="s">
        <v>77</v>
      </c>
      <c r="J38" t="s">
        <v>928</v>
      </c>
      <c r="K38" t="s">
        <v>928</v>
      </c>
      <c r="P38" t="s">
        <v>929</v>
      </c>
      <c r="Q38" t="s">
        <v>77</v>
      </c>
      <c r="R38" t="s">
        <v>78</v>
      </c>
      <c r="S38" t="s">
        <v>930</v>
      </c>
      <c r="T38" t="s">
        <v>931</v>
      </c>
      <c r="U38" t="s">
        <v>80</v>
      </c>
      <c r="V38" t="s">
        <v>81</v>
      </c>
      <c r="W38" t="s">
        <v>84</v>
      </c>
      <c r="X38" t="s">
        <v>84</v>
      </c>
      <c r="Y38" t="s">
        <v>143</v>
      </c>
      <c r="Z38" t="s">
        <v>932</v>
      </c>
      <c r="AA38" t="s">
        <v>78</v>
      </c>
      <c r="AB38" t="s">
        <v>82</v>
      </c>
      <c r="AC38" t="s">
        <v>118</v>
      </c>
      <c r="AD38" t="s">
        <v>527</v>
      </c>
      <c r="AE38" t="s">
        <v>933</v>
      </c>
      <c r="AF38" t="s">
        <v>934</v>
      </c>
      <c r="AG38" t="s">
        <v>935</v>
      </c>
      <c r="AH38" t="s">
        <v>936</v>
      </c>
      <c r="AI38" t="s">
        <v>937</v>
      </c>
      <c r="AJ38" t="s">
        <v>938</v>
      </c>
      <c r="AK38">
        <v>3</v>
      </c>
      <c r="AL38" t="s">
        <v>96</v>
      </c>
      <c r="AM38" t="s">
        <v>95</v>
      </c>
      <c r="AN38" t="s">
        <v>96</v>
      </c>
      <c r="AO38" t="s">
        <v>96</v>
      </c>
      <c r="AP38" t="s">
        <v>939</v>
      </c>
      <c r="AQ38" t="s">
        <v>98</v>
      </c>
      <c r="AR38" t="s">
        <v>940</v>
      </c>
      <c r="AS38" t="s">
        <v>940</v>
      </c>
      <c r="AT38">
        <v>10</v>
      </c>
      <c r="AU38" t="s">
        <v>941</v>
      </c>
      <c r="AV38">
        <v>4</v>
      </c>
      <c r="AW38" t="s">
        <v>942</v>
      </c>
      <c r="AX38">
        <v>2</v>
      </c>
      <c r="AY38" t="s">
        <v>943</v>
      </c>
      <c r="AZ38">
        <v>1</v>
      </c>
      <c r="BA38" t="s">
        <v>944</v>
      </c>
      <c r="BB38">
        <v>2</v>
      </c>
      <c r="BD38">
        <v>0</v>
      </c>
      <c r="BE38" t="s">
        <v>945</v>
      </c>
      <c r="BF38">
        <v>1</v>
      </c>
      <c r="BG38">
        <v>2</v>
      </c>
      <c r="BH38" t="s">
        <v>946</v>
      </c>
      <c r="BI38" t="s">
        <v>78</v>
      </c>
      <c r="BJ38" t="s">
        <v>135</v>
      </c>
      <c r="BK38" t="s">
        <v>925</v>
      </c>
      <c r="BL38" t="s">
        <v>84</v>
      </c>
      <c r="BM38" s="3" t="s">
        <v>1298</v>
      </c>
      <c r="BN38" s="1" t="s">
        <v>716</v>
      </c>
      <c r="BO38" s="1" t="b">
        <f t="shared" si="0"/>
        <v>1</v>
      </c>
      <c r="BP38" t="s">
        <v>947</v>
      </c>
      <c r="BQ38" t="s">
        <v>948</v>
      </c>
    </row>
    <row r="39" spans="1:70" ht="15.75" hidden="1" x14ac:dyDescent="0.25">
      <c r="A39" t="s">
        <v>949</v>
      </c>
      <c r="B39" t="s">
        <v>950</v>
      </c>
      <c r="C39">
        <v>2017</v>
      </c>
      <c r="D39" t="s">
        <v>109</v>
      </c>
      <c r="E39" t="s">
        <v>110</v>
      </c>
      <c r="F39" t="s">
        <v>110</v>
      </c>
      <c r="G39" t="s">
        <v>77</v>
      </c>
      <c r="H39" t="s">
        <v>77</v>
      </c>
      <c r="J39" t="s">
        <v>74</v>
      </c>
      <c r="K39" t="s">
        <v>74</v>
      </c>
      <c r="L39" t="s">
        <v>77</v>
      </c>
      <c r="P39" t="s">
        <v>951</v>
      </c>
      <c r="Q39" t="s">
        <v>77</v>
      </c>
      <c r="R39" t="s">
        <v>78</v>
      </c>
      <c r="T39" t="s">
        <v>952</v>
      </c>
      <c r="U39" t="s">
        <v>80</v>
      </c>
      <c r="V39" t="s">
        <v>81</v>
      </c>
      <c r="W39" t="s">
        <v>78</v>
      </c>
      <c r="X39" t="s">
        <v>84</v>
      </c>
      <c r="Y39" t="s">
        <v>253</v>
      </c>
      <c r="Z39" t="s">
        <v>953</v>
      </c>
      <c r="AA39" t="s">
        <v>78</v>
      </c>
      <c r="AB39" t="s">
        <v>82</v>
      </c>
      <c r="AC39" t="s">
        <v>954</v>
      </c>
      <c r="AD39" t="s">
        <v>82</v>
      </c>
      <c r="AE39" t="s">
        <v>119</v>
      </c>
      <c r="AF39" t="s">
        <v>955</v>
      </c>
      <c r="AG39" t="s">
        <v>326</v>
      </c>
      <c r="AH39" t="s">
        <v>956</v>
      </c>
      <c r="AI39" t="s">
        <v>957</v>
      </c>
      <c r="AJ39" t="s">
        <v>958</v>
      </c>
      <c r="AK39">
        <v>4</v>
      </c>
      <c r="AL39" t="s">
        <v>94</v>
      </c>
      <c r="AM39" t="s">
        <v>95</v>
      </c>
      <c r="AN39" t="s">
        <v>94</v>
      </c>
      <c r="AO39" t="s">
        <v>96</v>
      </c>
      <c r="AP39" t="s">
        <v>899</v>
      </c>
      <c r="AQ39" t="s">
        <v>154</v>
      </c>
      <c r="AR39" t="s">
        <v>959</v>
      </c>
      <c r="AS39" t="s">
        <v>959</v>
      </c>
      <c r="AT39">
        <v>8</v>
      </c>
      <c r="AV39">
        <v>0</v>
      </c>
      <c r="AW39" t="s">
        <v>960</v>
      </c>
      <c r="AX39">
        <v>6</v>
      </c>
      <c r="AY39" t="s">
        <v>961</v>
      </c>
      <c r="AZ39">
        <v>1</v>
      </c>
      <c r="BB39">
        <v>0</v>
      </c>
      <c r="BD39">
        <v>0</v>
      </c>
      <c r="BE39" t="s">
        <v>962</v>
      </c>
      <c r="BF39">
        <v>1</v>
      </c>
      <c r="BG39">
        <v>0</v>
      </c>
      <c r="BH39" t="s">
        <v>963</v>
      </c>
      <c r="BI39" t="s">
        <v>78</v>
      </c>
      <c r="BJ39" t="s">
        <v>964</v>
      </c>
      <c r="BK39" t="s">
        <v>949</v>
      </c>
      <c r="BL39" t="s">
        <v>84</v>
      </c>
      <c r="BM39" s="3" t="s">
        <v>1299</v>
      </c>
      <c r="BN39" s="1" t="s">
        <v>716</v>
      </c>
      <c r="BO39" s="1" t="b">
        <f t="shared" si="0"/>
        <v>1</v>
      </c>
      <c r="BP39" t="s">
        <v>965</v>
      </c>
      <c r="BQ39" t="s">
        <v>966</v>
      </c>
    </row>
    <row r="40" spans="1:70" ht="15.75" hidden="1" x14ac:dyDescent="0.25">
      <c r="A40" t="s">
        <v>967</v>
      </c>
      <c r="B40" t="s">
        <v>968</v>
      </c>
      <c r="C40">
        <v>2021</v>
      </c>
      <c r="D40" t="s">
        <v>109</v>
      </c>
      <c r="E40" t="s">
        <v>110</v>
      </c>
      <c r="F40" t="s">
        <v>110</v>
      </c>
      <c r="G40" t="s">
        <v>969</v>
      </c>
      <c r="H40" t="s">
        <v>73</v>
      </c>
      <c r="I40">
        <v>881.1</v>
      </c>
      <c r="J40" t="s">
        <v>391</v>
      </c>
      <c r="K40" t="s">
        <v>296</v>
      </c>
      <c r="L40" t="s">
        <v>970</v>
      </c>
      <c r="M40">
        <v>2.63</v>
      </c>
      <c r="N40" t="s">
        <v>73</v>
      </c>
      <c r="O40">
        <v>2.63</v>
      </c>
      <c r="P40" t="s">
        <v>971</v>
      </c>
      <c r="Q40" t="s">
        <v>77</v>
      </c>
      <c r="R40" t="s">
        <v>78</v>
      </c>
      <c r="T40" t="s">
        <v>972</v>
      </c>
      <c r="U40" t="s">
        <v>726</v>
      </c>
      <c r="V40" t="s">
        <v>727</v>
      </c>
      <c r="W40" t="s">
        <v>78</v>
      </c>
      <c r="X40" t="s">
        <v>84</v>
      </c>
      <c r="Y40" t="s">
        <v>253</v>
      </c>
      <c r="Z40" t="s">
        <v>973</v>
      </c>
      <c r="AA40" t="s">
        <v>78</v>
      </c>
      <c r="AB40" t="s">
        <v>82</v>
      </c>
      <c r="AC40" t="s">
        <v>118</v>
      </c>
      <c r="AD40" t="s">
        <v>82</v>
      </c>
      <c r="AE40" t="s">
        <v>119</v>
      </c>
      <c r="AF40" t="s">
        <v>974</v>
      </c>
      <c r="AG40" t="s">
        <v>975</v>
      </c>
      <c r="AH40" t="s">
        <v>976</v>
      </c>
      <c r="AI40" t="s">
        <v>977</v>
      </c>
      <c r="AJ40" t="s">
        <v>978</v>
      </c>
      <c r="AK40">
        <v>5</v>
      </c>
      <c r="AL40" t="s">
        <v>979</v>
      </c>
      <c r="AM40" t="s">
        <v>125</v>
      </c>
      <c r="AN40" t="s">
        <v>980</v>
      </c>
      <c r="AO40" t="s">
        <v>127</v>
      </c>
      <c r="AP40" t="s">
        <v>981</v>
      </c>
      <c r="AQ40" t="s">
        <v>98</v>
      </c>
      <c r="AR40" t="s">
        <v>982</v>
      </c>
      <c r="AS40" t="s">
        <v>982</v>
      </c>
      <c r="AT40">
        <v>1</v>
      </c>
      <c r="AV40">
        <v>0</v>
      </c>
      <c r="AX40">
        <v>0</v>
      </c>
      <c r="AZ40">
        <v>0</v>
      </c>
      <c r="BB40">
        <v>0</v>
      </c>
      <c r="BC40" t="s">
        <v>982</v>
      </c>
      <c r="BD40">
        <v>1</v>
      </c>
      <c r="BF40">
        <v>0</v>
      </c>
      <c r="BG40">
        <v>0</v>
      </c>
      <c r="BH40" t="s">
        <v>983</v>
      </c>
      <c r="BI40" t="s">
        <v>78</v>
      </c>
      <c r="BJ40" t="s">
        <v>135</v>
      </c>
      <c r="BK40" t="s">
        <v>967</v>
      </c>
      <c r="BL40" t="s">
        <v>84</v>
      </c>
      <c r="BM40" s="3" t="s">
        <v>1300</v>
      </c>
      <c r="BN40" s="1" t="s">
        <v>716</v>
      </c>
      <c r="BO40" s="1" t="b">
        <f t="shared" si="0"/>
        <v>1</v>
      </c>
      <c r="BP40" t="s">
        <v>984</v>
      </c>
      <c r="BQ40" t="s">
        <v>985</v>
      </c>
    </row>
    <row r="41" spans="1:70" ht="15.75" hidden="1" x14ac:dyDescent="0.25">
      <c r="A41" t="s">
        <v>986</v>
      </c>
      <c r="B41" t="s">
        <v>987</v>
      </c>
      <c r="C41">
        <v>2017</v>
      </c>
      <c r="D41" t="s">
        <v>319</v>
      </c>
      <c r="E41" t="s">
        <v>988</v>
      </c>
      <c r="F41" t="s">
        <v>71</v>
      </c>
      <c r="G41" t="s">
        <v>899</v>
      </c>
      <c r="H41" t="s">
        <v>73</v>
      </c>
      <c r="I41">
        <v>150</v>
      </c>
      <c r="J41" t="s">
        <v>989</v>
      </c>
      <c r="K41" t="s">
        <v>681</v>
      </c>
      <c r="L41" t="s">
        <v>77</v>
      </c>
      <c r="P41" t="s">
        <v>990</v>
      </c>
      <c r="Q41" t="s">
        <v>77</v>
      </c>
      <c r="R41" t="s">
        <v>78</v>
      </c>
      <c r="S41" t="s">
        <v>991</v>
      </c>
      <c r="T41" t="s">
        <v>992</v>
      </c>
      <c r="U41" t="s">
        <v>686</v>
      </c>
      <c r="V41" t="s">
        <v>371</v>
      </c>
      <c r="W41" t="s">
        <v>78</v>
      </c>
      <c r="X41" t="s">
        <v>78</v>
      </c>
      <c r="Y41" t="s">
        <v>82</v>
      </c>
      <c r="Z41" t="s">
        <v>993</v>
      </c>
      <c r="AA41" t="s">
        <v>84</v>
      </c>
      <c r="AB41" t="s">
        <v>470</v>
      </c>
      <c r="AC41" t="s">
        <v>994</v>
      </c>
      <c r="AD41" t="s">
        <v>82</v>
      </c>
      <c r="AE41" t="s">
        <v>995</v>
      </c>
      <c r="AF41" t="s">
        <v>996</v>
      </c>
      <c r="AG41" t="s">
        <v>997</v>
      </c>
      <c r="AH41" t="s">
        <v>786</v>
      </c>
      <c r="AI41" t="s">
        <v>998</v>
      </c>
      <c r="AJ41" t="s">
        <v>999</v>
      </c>
      <c r="AK41">
        <v>5</v>
      </c>
      <c r="AL41" t="s">
        <v>94</v>
      </c>
      <c r="AM41" t="s">
        <v>95</v>
      </c>
      <c r="AN41" t="s">
        <v>94</v>
      </c>
      <c r="AO41" t="s">
        <v>96</v>
      </c>
      <c r="AP41" t="s">
        <v>1000</v>
      </c>
      <c r="AQ41" t="s">
        <v>234</v>
      </c>
      <c r="AR41" t="s">
        <v>1001</v>
      </c>
      <c r="AS41" t="s">
        <v>1002</v>
      </c>
      <c r="AT41">
        <v>10</v>
      </c>
      <c r="AU41" t="s">
        <v>1003</v>
      </c>
      <c r="AV41">
        <v>2</v>
      </c>
      <c r="AW41" t="s">
        <v>1004</v>
      </c>
      <c r="AX41">
        <v>6</v>
      </c>
      <c r="AY41" t="s">
        <v>1005</v>
      </c>
      <c r="AZ41">
        <v>1</v>
      </c>
      <c r="BA41" t="s">
        <v>1006</v>
      </c>
      <c r="BB41">
        <v>1</v>
      </c>
      <c r="BD41">
        <v>0</v>
      </c>
      <c r="BF41">
        <v>0</v>
      </c>
      <c r="BG41">
        <v>1</v>
      </c>
      <c r="BH41" t="s">
        <v>715</v>
      </c>
      <c r="BI41" t="s">
        <v>78</v>
      </c>
      <c r="BJ41" t="s">
        <v>1007</v>
      </c>
      <c r="BK41" t="s">
        <v>986</v>
      </c>
      <c r="BL41" t="s">
        <v>84</v>
      </c>
      <c r="BM41" s="3" t="s">
        <v>1301</v>
      </c>
      <c r="BN41" s="1" t="s">
        <v>716</v>
      </c>
      <c r="BO41" s="1" t="b">
        <f t="shared" si="0"/>
        <v>1</v>
      </c>
      <c r="BP41" t="s">
        <v>1008</v>
      </c>
      <c r="BQ41" t="s">
        <v>1009</v>
      </c>
    </row>
    <row r="42" spans="1:70" ht="15.75" hidden="1" x14ac:dyDescent="0.25">
      <c r="A42" t="s">
        <v>1010</v>
      </c>
      <c r="B42" t="s">
        <v>1011</v>
      </c>
      <c r="C42">
        <v>2021</v>
      </c>
      <c r="D42" t="s">
        <v>436</v>
      </c>
      <c r="E42" t="s">
        <v>1012</v>
      </c>
      <c r="F42" t="s">
        <v>1013</v>
      </c>
      <c r="G42" t="s">
        <v>1014</v>
      </c>
      <c r="H42" t="s">
        <v>73</v>
      </c>
      <c r="I42">
        <v>237.03</v>
      </c>
      <c r="J42" t="s">
        <v>1015</v>
      </c>
      <c r="K42" t="s">
        <v>1015</v>
      </c>
      <c r="L42" t="s">
        <v>1016</v>
      </c>
      <c r="M42">
        <v>0.14000000000000001</v>
      </c>
      <c r="N42" t="s">
        <v>1017</v>
      </c>
      <c r="O42">
        <v>0.36299999999999999</v>
      </c>
      <c r="P42" t="s">
        <v>1018</v>
      </c>
      <c r="Q42" t="s">
        <v>1019</v>
      </c>
      <c r="R42" t="s">
        <v>78</v>
      </c>
      <c r="S42" t="s">
        <v>1020</v>
      </c>
      <c r="T42" t="s">
        <v>1021</v>
      </c>
      <c r="U42" t="s">
        <v>80</v>
      </c>
      <c r="V42" t="s">
        <v>81</v>
      </c>
      <c r="W42" t="s">
        <v>84</v>
      </c>
      <c r="X42" t="s">
        <v>84</v>
      </c>
      <c r="Y42" t="s">
        <v>1022</v>
      </c>
      <c r="Z42" t="s">
        <v>1023</v>
      </c>
      <c r="AA42" t="s">
        <v>78</v>
      </c>
      <c r="AB42" t="s">
        <v>82</v>
      </c>
      <c r="AC42" t="s">
        <v>1024</v>
      </c>
      <c r="AD42" t="s">
        <v>82</v>
      </c>
      <c r="AE42" t="s">
        <v>1025</v>
      </c>
      <c r="AF42" t="s">
        <v>1026</v>
      </c>
      <c r="AG42" t="s">
        <v>1027</v>
      </c>
      <c r="AH42" t="s">
        <v>1028</v>
      </c>
      <c r="AI42" t="s">
        <v>1029</v>
      </c>
      <c r="AJ42" t="s">
        <v>1030</v>
      </c>
      <c r="AK42">
        <v>5</v>
      </c>
      <c r="AL42" t="s">
        <v>1031</v>
      </c>
      <c r="AM42" t="s">
        <v>125</v>
      </c>
      <c r="AN42" t="s">
        <v>1032</v>
      </c>
      <c r="AO42" t="s">
        <v>127</v>
      </c>
      <c r="AP42" t="s">
        <v>1033</v>
      </c>
      <c r="AQ42" t="s">
        <v>1034</v>
      </c>
      <c r="AR42" t="s">
        <v>1035</v>
      </c>
      <c r="AS42" t="s">
        <v>1035</v>
      </c>
      <c r="AT42">
        <v>12</v>
      </c>
      <c r="AU42" t="s">
        <v>1036</v>
      </c>
      <c r="AV42">
        <v>3</v>
      </c>
      <c r="AW42" t="s">
        <v>1037</v>
      </c>
      <c r="AX42">
        <v>7</v>
      </c>
      <c r="AZ42">
        <v>0</v>
      </c>
      <c r="BB42">
        <v>0</v>
      </c>
      <c r="BD42">
        <v>0</v>
      </c>
      <c r="BE42" t="s">
        <v>1038</v>
      </c>
      <c r="BF42">
        <v>2</v>
      </c>
      <c r="BG42">
        <v>0</v>
      </c>
      <c r="BH42" t="s">
        <v>1039</v>
      </c>
      <c r="BI42" t="s">
        <v>78</v>
      </c>
      <c r="BJ42" t="s">
        <v>1040</v>
      </c>
      <c r="BK42" t="s">
        <v>1010</v>
      </c>
      <c r="BL42" t="s">
        <v>84</v>
      </c>
      <c r="BM42" s="3" t="s">
        <v>1302</v>
      </c>
      <c r="BN42" s="1" t="s">
        <v>716</v>
      </c>
      <c r="BO42" s="1" t="b">
        <f t="shared" si="0"/>
        <v>1</v>
      </c>
      <c r="BP42" t="s">
        <v>1041</v>
      </c>
      <c r="BQ42" t="s">
        <v>1042</v>
      </c>
    </row>
    <row r="43" spans="1:70" ht="15.75" hidden="1" x14ac:dyDescent="0.25">
      <c r="A43" t="s">
        <v>1043</v>
      </c>
      <c r="B43" t="s">
        <v>1044</v>
      </c>
      <c r="C43">
        <v>2006</v>
      </c>
      <c r="D43" t="s">
        <v>436</v>
      </c>
      <c r="E43" t="s">
        <v>437</v>
      </c>
      <c r="F43" t="s">
        <v>437</v>
      </c>
      <c r="G43" t="s">
        <v>77</v>
      </c>
      <c r="H43" t="s">
        <v>77</v>
      </c>
      <c r="J43" t="s">
        <v>1045</v>
      </c>
      <c r="K43" t="s">
        <v>1045</v>
      </c>
      <c r="L43" t="s">
        <v>77</v>
      </c>
      <c r="P43" t="s">
        <v>1046</v>
      </c>
      <c r="Q43" t="s">
        <v>77</v>
      </c>
      <c r="R43" t="s">
        <v>84</v>
      </c>
      <c r="S43" t="s">
        <v>1047</v>
      </c>
      <c r="T43" t="s">
        <v>1048</v>
      </c>
      <c r="U43" t="s">
        <v>1049</v>
      </c>
      <c r="V43" t="s">
        <v>1050</v>
      </c>
      <c r="W43" t="s">
        <v>84</v>
      </c>
      <c r="X43" t="s">
        <v>84</v>
      </c>
      <c r="Y43" t="s">
        <v>143</v>
      </c>
      <c r="Z43" t="s">
        <v>1051</v>
      </c>
      <c r="AA43" t="s">
        <v>84</v>
      </c>
      <c r="AB43" t="s">
        <v>145</v>
      </c>
      <c r="AC43" t="s">
        <v>1052</v>
      </c>
      <c r="AD43" t="s">
        <v>82</v>
      </c>
      <c r="AE43" t="s">
        <v>119</v>
      </c>
      <c r="AF43" t="s">
        <v>1053</v>
      </c>
      <c r="AG43" t="s">
        <v>449</v>
      </c>
      <c r="AH43" t="s">
        <v>82</v>
      </c>
      <c r="AI43" t="s">
        <v>122</v>
      </c>
      <c r="AJ43" t="s">
        <v>1054</v>
      </c>
      <c r="AK43">
        <v>2</v>
      </c>
      <c r="AL43" t="s">
        <v>94</v>
      </c>
      <c r="AM43" t="s">
        <v>95</v>
      </c>
      <c r="AN43" t="s">
        <v>94</v>
      </c>
      <c r="AO43" t="s">
        <v>96</v>
      </c>
      <c r="AP43" t="s">
        <v>1055</v>
      </c>
      <c r="AQ43" t="s">
        <v>761</v>
      </c>
      <c r="AR43" t="s">
        <v>1056</v>
      </c>
      <c r="AS43" t="s">
        <v>1056</v>
      </c>
      <c r="AT43">
        <v>4</v>
      </c>
      <c r="AU43" t="s">
        <v>1057</v>
      </c>
      <c r="AV43">
        <v>1</v>
      </c>
      <c r="AX43">
        <v>0</v>
      </c>
      <c r="AY43" t="s">
        <v>1058</v>
      </c>
      <c r="AZ43">
        <v>1</v>
      </c>
      <c r="BA43" t="s">
        <v>1059</v>
      </c>
      <c r="BB43">
        <v>2</v>
      </c>
      <c r="BD43">
        <v>0</v>
      </c>
      <c r="BF43">
        <v>0</v>
      </c>
      <c r="BG43">
        <v>2</v>
      </c>
      <c r="BH43" t="s">
        <v>1060</v>
      </c>
      <c r="BI43" t="s">
        <v>78</v>
      </c>
      <c r="BJ43" t="s">
        <v>1061</v>
      </c>
      <c r="BK43" t="s">
        <v>1043</v>
      </c>
      <c r="BL43" t="s">
        <v>78</v>
      </c>
      <c r="BM43" s="3" t="s">
        <v>1303</v>
      </c>
      <c r="BN43" s="1" t="s">
        <v>498</v>
      </c>
      <c r="BO43" s="1" t="b">
        <f t="shared" si="0"/>
        <v>1</v>
      </c>
      <c r="BP43" t="s">
        <v>270</v>
      </c>
      <c r="BQ43" t="s">
        <v>1062</v>
      </c>
    </row>
    <row r="44" spans="1:70" ht="15.75" hidden="1" x14ac:dyDescent="0.25">
      <c r="A44" t="s">
        <v>1063</v>
      </c>
      <c r="B44" t="s">
        <v>1064</v>
      </c>
      <c r="C44">
        <v>2013</v>
      </c>
      <c r="D44" t="s">
        <v>319</v>
      </c>
      <c r="E44" t="s">
        <v>1065</v>
      </c>
      <c r="F44" t="s">
        <v>71</v>
      </c>
      <c r="G44" t="s">
        <v>77</v>
      </c>
      <c r="H44" t="s">
        <v>77</v>
      </c>
      <c r="J44" t="s">
        <v>1066</v>
      </c>
      <c r="K44" t="s">
        <v>746</v>
      </c>
      <c r="L44" t="s">
        <v>77</v>
      </c>
      <c r="P44" t="s">
        <v>1067</v>
      </c>
      <c r="Q44" t="s">
        <v>749</v>
      </c>
      <c r="R44" t="s">
        <v>78</v>
      </c>
      <c r="T44" t="s">
        <v>1068</v>
      </c>
      <c r="U44" t="s">
        <v>1069</v>
      </c>
      <c r="V44" t="s">
        <v>1070</v>
      </c>
      <c r="W44" t="s">
        <v>78</v>
      </c>
      <c r="X44" t="s">
        <v>78</v>
      </c>
      <c r="Y44" t="s">
        <v>82</v>
      </c>
      <c r="Z44" t="s">
        <v>1071</v>
      </c>
      <c r="AA44" t="s">
        <v>78</v>
      </c>
      <c r="AB44" t="s">
        <v>82</v>
      </c>
      <c r="AC44" t="s">
        <v>118</v>
      </c>
      <c r="AD44" t="s">
        <v>82</v>
      </c>
      <c r="AE44" t="s">
        <v>119</v>
      </c>
      <c r="AF44" t="s">
        <v>1072</v>
      </c>
      <c r="AG44" t="s">
        <v>1073</v>
      </c>
      <c r="AH44" t="s">
        <v>1074</v>
      </c>
      <c r="AI44" t="s">
        <v>1075</v>
      </c>
      <c r="AJ44" t="s">
        <v>1076</v>
      </c>
      <c r="AK44">
        <v>7</v>
      </c>
      <c r="AL44" t="s">
        <v>1077</v>
      </c>
      <c r="AM44" t="s">
        <v>125</v>
      </c>
      <c r="AN44" t="s">
        <v>1077</v>
      </c>
      <c r="AO44" t="s">
        <v>127</v>
      </c>
      <c r="AP44" t="s">
        <v>1078</v>
      </c>
      <c r="AQ44" t="s">
        <v>98</v>
      </c>
      <c r="AR44" t="s">
        <v>1079</v>
      </c>
      <c r="AS44" t="s">
        <v>1079</v>
      </c>
      <c r="AT44">
        <v>11</v>
      </c>
      <c r="AU44" t="s">
        <v>1080</v>
      </c>
      <c r="AV44">
        <v>2</v>
      </c>
      <c r="AW44" t="s">
        <v>1081</v>
      </c>
      <c r="AX44">
        <v>5</v>
      </c>
      <c r="AY44" t="s">
        <v>1082</v>
      </c>
      <c r="AZ44">
        <v>1</v>
      </c>
      <c r="BA44" t="s">
        <v>1083</v>
      </c>
      <c r="BB44">
        <v>2</v>
      </c>
      <c r="BC44" t="s">
        <v>1084</v>
      </c>
      <c r="BD44">
        <v>1</v>
      </c>
      <c r="BF44">
        <v>0</v>
      </c>
      <c r="BG44">
        <v>2</v>
      </c>
      <c r="BH44" t="s">
        <v>1085</v>
      </c>
      <c r="BI44" t="s">
        <v>78</v>
      </c>
      <c r="BJ44" t="s">
        <v>1086</v>
      </c>
      <c r="BK44" t="s">
        <v>1063</v>
      </c>
      <c r="BL44" t="s">
        <v>84</v>
      </c>
      <c r="BM44" s="3" t="s">
        <v>1304</v>
      </c>
      <c r="BN44" s="1" t="s">
        <v>716</v>
      </c>
      <c r="BO44" s="1" t="b">
        <f t="shared" si="0"/>
        <v>1</v>
      </c>
      <c r="BP44" t="s">
        <v>1087</v>
      </c>
      <c r="BQ44" t="s">
        <v>1088</v>
      </c>
    </row>
    <row r="45" spans="1:70" ht="15.75" hidden="1" x14ac:dyDescent="0.25">
      <c r="A45" t="s">
        <v>1089</v>
      </c>
      <c r="B45" t="s">
        <v>1090</v>
      </c>
      <c r="C45">
        <v>2013</v>
      </c>
      <c r="D45" t="s">
        <v>330</v>
      </c>
      <c r="E45" t="s">
        <v>331</v>
      </c>
      <c r="F45" t="s">
        <v>331</v>
      </c>
      <c r="G45" t="s">
        <v>1091</v>
      </c>
      <c r="H45" t="s">
        <v>73</v>
      </c>
      <c r="I45">
        <v>1327.2</v>
      </c>
      <c r="J45" t="s">
        <v>1092</v>
      </c>
      <c r="K45" t="s">
        <v>1092</v>
      </c>
      <c r="L45" t="s">
        <v>1093</v>
      </c>
      <c r="M45">
        <v>8.4</v>
      </c>
      <c r="N45" t="s">
        <v>73</v>
      </c>
      <c r="O45">
        <v>8.4</v>
      </c>
      <c r="P45" t="s">
        <v>335</v>
      </c>
      <c r="Q45" t="s">
        <v>77</v>
      </c>
      <c r="R45" t="s">
        <v>78</v>
      </c>
      <c r="S45" t="s">
        <v>1094</v>
      </c>
      <c r="T45" t="s">
        <v>1095</v>
      </c>
      <c r="U45" t="s">
        <v>1069</v>
      </c>
      <c r="V45" t="s">
        <v>1070</v>
      </c>
      <c r="W45" t="s">
        <v>78</v>
      </c>
      <c r="X45" t="s">
        <v>78</v>
      </c>
      <c r="Y45" t="s">
        <v>82</v>
      </c>
      <c r="Z45" t="s">
        <v>1096</v>
      </c>
      <c r="AA45" t="s">
        <v>84</v>
      </c>
      <c r="AB45" t="s">
        <v>85</v>
      </c>
      <c r="AC45" t="s">
        <v>1097</v>
      </c>
      <c r="AD45" t="s">
        <v>82</v>
      </c>
      <c r="AE45" t="s">
        <v>1098</v>
      </c>
      <c r="AF45" t="s">
        <v>258</v>
      </c>
      <c r="AG45" t="s">
        <v>259</v>
      </c>
      <c r="AH45" t="s">
        <v>1099</v>
      </c>
      <c r="AI45" t="s">
        <v>1100</v>
      </c>
      <c r="AJ45" t="s">
        <v>1101</v>
      </c>
      <c r="AK45">
        <v>2</v>
      </c>
      <c r="AL45" t="s">
        <v>94</v>
      </c>
      <c r="AM45" t="s">
        <v>95</v>
      </c>
      <c r="AN45" t="s">
        <v>94</v>
      </c>
      <c r="AO45" t="s">
        <v>96</v>
      </c>
      <c r="AP45" t="s">
        <v>1102</v>
      </c>
      <c r="AQ45" t="s">
        <v>1103</v>
      </c>
      <c r="AR45" t="s">
        <v>1104</v>
      </c>
      <c r="AS45" t="s">
        <v>1104</v>
      </c>
      <c r="AT45">
        <v>6</v>
      </c>
      <c r="AU45" t="s">
        <v>1105</v>
      </c>
      <c r="AV45">
        <v>2</v>
      </c>
      <c r="AW45" t="s">
        <v>711</v>
      </c>
      <c r="AX45">
        <v>1</v>
      </c>
      <c r="AY45" t="s">
        <v>1106</v>
      </c>
      <c r="AZ45">
        <v>1</v>
      </c>
      <c r="BA45" t="s">
        <v>1107</v>
      </c>
      <c r="BB45">
        <v>2</v>
      </c>
      <c r="BD45">
        <v>0</v>
      </c>
      <c r="BF45">
        <v>0</v>
      </c>
      <c r="BG45">
        <v>2</v>
      </c>
      <c r="BH45" t="s">
        <v>1108</v>
      </c>
      <c r="BI45" t="s">
        <v>78</v>
      </c>
      <c r="BJ45" t="s">
        <v>1109</v>
      </c>
      <c r="BK45" t="s">
        <v>1089</v>
      </c>
      <c r="BL45" t="s">
        <v>84</v>
      </c>
      <c r="BM45" s="3" t="s">
        <v>1305</v>
      </c>
      <c r="BN45" s="1" t="s">
        <v>716</v>
      </c>
      <c r="BO45" s="1" t="b">
        <f t="shared" si="0"/>
        <v>1</v>
      </c>
      <c r="BP45" t="s">
        <v>1110</v>
      </c>
      <c r="BQ45" t="s">
        <v>1111</v>
      </c>
    </row>
    <row r="46" spans="1:70" ht="15.75" x14ac:dyDescent="0.25">
      <c r="A46" t="s">
        <v>1112</v>
      </c>
      <c r="B46" t="s">
        <v>1113</v>
      </c>
      <c r="C46">
        <v>2015</v>
      </c>
      <c r="D46" t="s">
        <v>319</v>
      </c>
      <c r="E46" t="s">
        <v>1114</v>
      </c>
      <c r="F46" t="s">
        <v>71</v>
      </c>
      <c r="G46" t="s">
        <v>77</v>
      </c>
      <c r="H46" t="s">
        <v>77</v>
      </c>
      <c r="J46" t="s">
        <v>1115</v>
      </c>
      <c r="K46" t="s">
        <v>746</v>
      </c>
      <c r="L46" t="s">
        <v>77</v>
      </c>
      <c r="P46" t="s">
        <v>1116</v>
      </c>
      <c r="Q46" t="s">
        <v>1117</v>
      </c>
      <c r="R46" t="s">
        <v>78</v>
      </c>
      <c r="T46" t="s">
        <v>1118</v>
      </c>
      <c r="U46" t="s">
        <v>1069</v>
      </c>
      <c r="V46" t="s">
        <v>1070</v>
      </c>
      <c r="W46" t="s">
        <v>78</v>
      </c>
      <c r="X46" t="s">
        <v>78</v>
      </c>
      <c r="Y46" t="s">
        <v>82</v>
      </c>
      <c r="Z46" t="s">
        <v>1119</v>
      </c>
      <c r="AA46" t="s">
        <v>78</v>
      </c>
      <c r="AB46" t="s">
        <v>82</v>
      </c>
      <c r="AC46" t="s">
        <v>1120</v>
      </c>
      <c r="AD46" t="s">
        <v>82</v>
      </c>
      <c r="AE46" t="s">
        <v>119</v>
      </c>
      <c r="AF46" t="s">
        <v>1121</v>
      </c>
      <c r="AG46" t="s">
        <v>1122</v>
      </c>
      <c r="AH46" t="s">
        <v>1123</v>
      </c>
      <c r="AI46" t="s">
        <v>1124</v>
      </c>
      <c r="AJ46" t="s">
        <v>1125</v>
      </c>
      <c r="AK46">
        <v>4</v>
      </c>
      <c r="AL46" t="s">
        <v>1126</v>
      </c>
      <c r="AM46" t="s">
        <v>95</v>
      </c>
      <c r="AN46" t="s">
        <v>1127</v>
      </c>
      <c r="AO46" t="s">
        <v>426</v>
      </c>
      <c r="AP46" t="s">
        <v>1128</v>
      </c>
      <c r="AQ46" t="s">
        <v>98</v>
      </c>
      <c r="AR46" t="s">
        <v>1129</v>
      </c>
      <c r="AS46" t="s">
        <v>1129</v>
      </c>
      <c r="AT46">
        <v>10</v>
      </c>
      <c r="AU46" t="s">
        <v>237</v>
      </c>
      <c r="AV46">
        <v>1</v>
      </c>
      <c r="AW46" t="s">
        <v>1130</v>
      </c>
      <c r="AX46">
        <v>6</v>
      </c>
      <c r="AZ46">
        <v>0</v>
      </c>
      <c r="BA46" t="s">
        <v>1131</v>
      </c>
      <c r="BB46">
        <v>3</v>
      </c>
      <c r="BD46">
        <v>0</v>
      </c>
      <c r="BF46">
        <v>0</v>
      </c>
      <c r="BG46">
        <v>3</v>
      </c>
      <c r="BH46" t="s">
        <v>1085</v>
      </c>
      <c r="BI46" t="s">
        <v>78</v>
      </c>
      <c r="BJ46" t="s">
        <v>1132</v>
      </c>
      <c r="BK46" t="s">
        <v>1112</v>
      </c>
      <c r="BL46" t="s">
        <v>84</v>
      </c>
      <c r="BM46" s="3" t="s">
        <v>1311</v>
      </c>
      <c r="BN46" s="4" t="s">
        <v>498</v>
      </c>
      <c r="BO46" s="1" t="b">
        <f t="shared" si="0"/>
        <v>0</v>
      </c>
      <c r="BP46" t="s">
        <v>1133</v>
      </c>
      <c r="BQ46" t="s">
        <v>1134</v>
      </c>
    </row>
    <row r="47" spans="1:70" ht="15.75" hidden="1" x14ac:dyDescent="0.25">
      <c r="A47" t="s">
        <v>1135</v>
      </c>
      <c r="B47" t="s">
        <v>1136</v>
      </c>
      <c r="C47">
        <v>2022</v>
      </c>
      <c r="D47" t="s">
        <v>581</v>
      </c>
      <c r="E47" t="s">
        <v>560</v>
      </c>
      <c r="F47" t="s">
        <v>560</v>
      </c>
      <c r="G47" t="s">
        <v>77</v>
      </c>
      <c r="H47" t="s">
        <v>77</v>
      </c>
      <c r="J47" t="s">
        <v>1137</v>
      </c>
      <c r="K47" t="s">
        <v>583</v>
      </c>
      <c r="L47" t="s">
        <v>1138</v>
      </c>
      <c r="M47">
        <v>1.962</v>
      </c>
      <c r="N47" t="s">
        <v>73</v>
      </c>
      <c r="O47">
        <v>1.962</v>
      </c>
      <c r="P47" t="s">
        <v>585</v>
      </c>
      <c r="Q47" t="s">
        <v>1139</v>
      </c>
      <c r="R47" t="s">
        <v>78</v>
      </c>
      <c r="T47" t="s">
        <v>1140</v>
      </c>
      <c r="U47" t="s">
        <v>703</v>
      </c>
      <c r="V47" t="s">
        <v>659</v>
      </c>
      <c r="W47" t="s">
        <v>78</v>
      </c>
      <c r="X47" t="s">
        <v>78</v>
      </c>
      <c r="Y47" t="s">
        <v>82</v>
      </c>
      <c r="Z47" t="s">
        <v>1141</v>
      </c>
      <c r="AA47" t="s">
        <v>84</v>
      </c>
      <c r="AB47" t="s">
        <v>470</v>
      </c>
      <c r="AC47" t="s">
        <v>1142</v>
      </c>
      <c r="AD47" t="s">
        <v>82</v>
      </c>
      <c r="AE47" t="s">
        <v>1143</v>
      </c>
      <c r="AF47" t="s">
        <v>591</v>
      </c>
      <c r="AG47" t="s">
        <v>592</v>
      </c>
      <c r="AH47" t="s">
        <v>353</v>
      </c>
      <c r="AI47" t="s">
        <v>1144</v>
      </c>
      <c r="AJ47" t="s">
        <v>1145</v>
      </c>
      <c r="AK47">
        <v>4</v>
      </c>
      <c r="AL47" t="s">
        <v>596</v>
      </c>
      <c r="AM47" t="s">
        <v>125</v>
      </c>
      <c r="AN47" t="s">
        <v>597</v>
      </c>
      <c r="AO47" t="s">
        <v>127</v>
      </c>
      <c r="AP47" t="s">
        <v>598</v>
      </c>
      <c r="AQ47" t="s">
        <v>154</v>
      </c>
      <c r="AR47" t="s">
        <v>1146</v>
      </c>
      <c r="AS47" t="s">
        <v>1146</v>
      </c>
      <c r="AT47">
        <v>2</v>
      </c>
      <c r="AV47">
        <v>0</v>
      </c>
      <c r="AW47" t="s">
        <v>1147</v>
      </c>
      <c r="AX47">
        <v>1</v>
      </c>
      <c r="AZ47">
        <v>0</v>
      </c>
      <c r="BA47" t="s">
        <v>1148</v>
      </c>
      <c r="BB47">
        <v>1</v>
      </c>
      <c r="BD47">
        <v>0</v>
      </c>
      <c r="BF47">
        <v>0</v>
      </c>
      <c r="BG47">
        <v>1</v>
      </c>
      <c r="BH47" t="s">
        <v>1108</v>
      </c>
      <c r="BI47" t="s">
        <v>78</v>
      </c>
      <c r="BJ47" t="s">
        <v>1149</v>
      </c>
      <c r="BK47" t="s">
        <v>1135</v>
      </c>
      <c r="BL47" t="s">
        <v>84</v>
      </c>
      <c r="BM47" s="3" t="s">
        <v>1306</v>
      </c>
      <c r="BN47" s="1" t="s">
        <v>716</v>
      </c>
      <c r="BO47" s="1" t="b">
        <f t="shared" si="0"/>
        <v>1</v>
      </c>
      <c r="BP47" t="s">
        <v>1150</v>
      </c>
      <c r="BQ47" t="s">
        <v>1151</v>
      </c>
    </row>
    <row r="48" spans="1:70" ht="15.75" hidden="1" x14ac:dyDescent="0.25">
      <c r="A48" t="s">
        <v>1152</v>
      </c>
      <c r="B48" t="s">
        <v>1153</v>
      </c>
      <c r="C48">
        <v>2019</v>
      </c>
      <c r="D48" t="s">
        <v>109</v>
      </c>
      <c r="E48" t="s">
        <v>560</v>
      </c>
      <c r="F48" t="s">
        <v>560</v>
      </c>
      <c r="G48" t="s">
        <v>1154</v>
      </c>
      <c r="H48" t="s">
        <v>73</v>
      </c>
      <c r="I48">
        <v>33708.230000000003</v>
      </c>
      <c r="J48" t="s">
        <v>391</v>
      </c>
      <c r="K48" t="s">
        <v>296</v>
      </c>
      <c r="L48" t="s">
        <v>970</v>
      </c>
      <c r="M48">
        <v>2.63</v>
      </c>
      <c r="N48" t="s">
        <v>73</v>
      </c>
      <c r="O48">
        <v>2.63</v>
      </c>
      <c r="P48" t="s">
        <v>1155</v>
      </c>
      <c r="Q48" t="s">
        <v>1156</v>
      </c>
      <c r="R48" t="s">
        <v>78</v>
      </c>
      <c r="T48" t="s">
        <v>1157</v>
      </c>
      <c r="U48" t="s">
        <v>1158</v>
      </c>
      <c r="V48" t="s">
        <v>634</v>
      </c>
      <c r="W48" t="s">
        <v>78</v>
      </c>
      <c r="X48" t="s">
        <v>78</v>
      </c>
      <c r="Y48" t="s">
        <v>82</v>
      </c>
      <c r="Z48" t="s">
        <v>1159</v>
      </c>
      <c r="AA48" t="s">
        <v>78</v>
      </c>
      <c r="AB48" t="s">
        <v>82</v>
      </c>
      <c r="AC48" t="s">
        <v>118</v>
      </c>
      <c r="AD48" t="s">
        <v>82</v>
      </c>
      <c r="AE48" t="s">
        <v>119</v>
      </c>
      <c r="AF48" t="s">
        <v>1160</v>
      </c>
      <c r="AG48" t="s">
        <v>1027</v>
      </c>
      <c r="AH48" t="s">
        <v>1161</v>
      </c>
      <c r="AI48" t="s">
        <v>1162</v>
      </c>
      <c r="AJ48" t="s">
        <v>1163</v>
      </c>
      <c r="AK48">
        <v>5</v>
      </c>
      <c r="AL48" t="s">
        <v>1164</v>
      </c>
      <c r="AM48" t="s">
        <v>125</v>
      </c>
      <c r="AN48" t="s">
        <v>1165</v>
      </c>
      <c r="AO48" t="s">
        <v>127</v>
      </c>
      <c r="AP48" t="s">
        <v>1166</v>
      </c>
      <c r="AQ48" t="s">
        <v>154</v>
      </c>
      <c r="AR48" t="s">
        <v>1167</v>
      </c>
      <c r="AS48" t="s">
        <v>1167</v>
      </c>
      <c r="AT48">
        <v>3</v>
      </c>
      <c r="AU48" t="s">
        <v>1168</v>
      </c>
      <c r="AV48">
        <v>2</v>
      </c>
      <c r="AX48">
        <v>0</v>
      </c>
      <c r="AZ48">
        <v>0</v>
      </c>
      <c r="BA48" t="s">
        <v>1169</v>
      </c>
      <c r="BB48">
        <v>1</v>
      </c>
      <c r="BD48">
        <v>0</v>
      </c>
      <c r="BF48">
        <v>0</v>
      </c>
      <c r="BG48">
        <v>1</v>
      </c>
      <c r="BH48" t="s">
        <v>1170</v>
      </c>
      <c r="BI48" t="s">
        <v>78</v>
      </c>
      <c r="BJ48" t="s">
        <v>1171</v>
      </c>
      <c r="BK48" t="s">
        <v>1152</v>
      </c>
      <c r="BL48" t="s">
        <v>84</v>
      </c>
      <c r="BM48" s="3" t="s">
        <v>1307</v>
      </c>
      <c r="BN48" s="1" t="s">
        <v>716</v>
      </c>
      <c r="BO48" s="1" t="b">
        <f t="shared" si="0"/>
        <v>1</v>
      </c>
      <c r="BP48" t="s">
        <v>1172</v>
      </c>
      <c r="BQ48" t="s">
        <v>1173</v>
      </c>
    </row>
    <row r="49" spans="1:69" ht="15.75" hidden="1" x14ac:dyDescent="0.25">
      <c r="A49" t="s">
        <v>1174</v>
      </c>
      <c r="B49" t="s">
        <v>1175</v>
      </c>
      <c r="C49">
        <v>2018</v>
      </c>
      <c r="D49" t="s">
        <v>1176</v>
      </c>
      <c r="E49" t="s">
        <v>1177</v>
      </c>
      <c r="F49" t="s">
        <v>1178</v>
      </c>
      <c r="G49" t="s">
        <v>1179</v>
      </c>
      <c r="H49" t="s">
        <v>73</v>
      </c>
      <c r="I49">
        <v>283.5</v>
      </c>
      <c r="J49" t="s">
        <v>166</v>
      </c>
      <c r="K49" t="s">
        <v>166</v>
      </c>
      <c r="L49" t="s">
        <v>1180</v>
      </c>
      <c r="M49">
        <v>0.25</v>
      </c>
      <c r="N49" t="s">
        <v>73</v>
      </c>
      <c r="O49">
        <v>0.25</v>
      </c>
      <c r="P49" t="s">
        <v>1181</v>
      </c>
      <c r="Q49" t="s">
        <v>77</v>
      </c>
      <c r="R49" t="s">
        <v>78</v>
      </c>
      <c r="T49" t="s">
        <v>1182</v>
      </c>
      <c r="U49" t="s">
        <v>658</v>
      </c>
      <c r="V49" t="s">
        <v>659</v>
      </c>
      <c r="W49" t="s">
        <v>84</v>
      </c>
      <c r="X49" t="s">
        <v>84</v>
      </c>
      <c r="Y49" t="s">
        <v>143</v>
      </c>
      <c r="Z49" t="s">
        <v>1183</v>
      </c>
      <c r="AA49" t="s">
        <v>78</v>
      </c>
      <c r="AB49" t="s">
        <v>82</v>
      </c>
      <c r="AC49" t="s">
        <v>118</v>
      </c>
      <c r="AD49" t="s">
        <v>1184</v>
      </c>
      <c r="AE49" t="s">
        <v>119</v>
      </c>
      <c r="AF49" t="s">
        <v>1185</v>
      </c>
      <c r="AG49" t="s">
        <v>1186</v>
      </c>
      <c r="AH49" t="s">
        <v>1187</v>
      </c>
      <c r="AI49" t="s">
        <v>1188</v>
      </c>
      <c r="AJ49" t="s">
        <v>1189</v>
      </c>
      <c r="AK49">
        <v>3</v>
      </c>
      <c r="AL49" t="s">
        <v>94</v>
      </c>
      <c r="AM49" t="s">
        <v>95</v>
      </c>
      <c r="AN49" t="s">
        <v>94</v>
      </c>
      <c r="AO49" t="s">
        <v>96</v>
      </c>
      <c r="AP49" t="s">
        <v>1190</v>
      </c>
      <c r="AQ49" t="s">
        <v>98</v>
      </c>
      <c r="AR49" t="s">
        <v>1191</v>
      </c>
      <c r="AS49" t="s">
        <v>1191</v>
      </c>
      <c r="AT49">
        <v>6</v>
      </c>
      <c r="AU49" t="s">
        <v>1192</v>
      </c>
      <c r="AV49">
        <v>3</v>
      </c>
      <c r="AW49" t="s">
        <v>1193</v>
      </c>
      <c r="AX49">
        <v>1</v>
      </c>
      <c r="AZ49">
        <v>0</v>
      </c>
      <c r="BA49" t="s">
        <v>1194</v>
      </c>
      <c r="BB49">
        <v>1</v>
      </c>
      <c r="BC49" t="s">
        <v>1195</v>
      </c>
      <c r="BD49">
        <v>1</v>
      </c>
      <c r="BF49">
        <v>0</v>
      </c>
      <c r="BG49">
        <v>1</v>
      </c>
      <c r="BH49" t="s">
        <v>134</v>
      </c>
      <c r="BI49" t="s">
        <v>78</v>
      </c>
      <c r="BJ49" t="s">
        <v>135</v>
      </c>
      <c r="BK49" t="s">
        <v>1174</v>
      </c>
      <c r="BL49" t="s">
        <v>78</v>
      </c>
      <c r="BM49" s="3" t="s">
        <v>1308</v>
      </c>
      <c r="BN49" s="1" t="s">
        <v>498</v>
      </c>
      <c r="BO49" s="1" t="b">
        <f t="shared" si="0"/>
        <v>1</v>
      </c>
      <c r="BP49" t="s">
        <v>1196</v>
      </c>
      <c r="BQ49" t="s">
        <v>1197</v>
      </c>
    </row>
    <row r="50" spans="1:69" ht="15.75" hidden="1" x14ac:dyDescent="0.25">
      <c r="A50" t="s">
        <v>1198</v>
      </c>
      <c r="B50" t="s">
        <v>1199</v>
      </c>
      <c r="C50">
        <v>2022</v>
      </c>
      <c r="D50" t="s">
        <v>436</v>
      </c>
      <c r="E50" t="s">
        <v>927</v>
      </c>
      <c r="F50" t="s">
        <v>927</v>
      </c>
      <c r="G50" t="s">
        <v>77</v>
      </c>
      <c r="H50" t="s">
        <v>77</v>
      </c>
      <c r="J50" t="s">
        <v>1200</v>
      </c>
      <c r="K50" t="s">
        <v>1200</v>
      </c>
      <c r="L50" t="s">
        <v>77</v>
      </c>
      <c r="P50" t="s">
        <v>1201</v>
      </c>
      <c r="Q50" t="s">
        <v>77</v>
      </c>
      <c r="R50" t="s">
        <v>78</v>
      </c>
      <c r="T50" t="s">
        <v>1202</v>
      </c>
      <c r="U50" t="s">
        <v>726</v>
      </c>
      <c r="V50" t="s">
        <v>727</v>
      </c>
      <c r="W50" t="s">
        <v>84</v>
      </c>
      <c r="X50" t="s">
        <v>84</v>
      </c>
      <c r="Y50" t="s">
        <v>143</v>
      </c>
      <c r="Z50" t="s">
        <v>1203</v>
      </c>
      <c r="AA50" t="s">
        <v>78</v>
      </c>
      <c r="AB50" t="s">
        <v>82</v>
      </c>
      <c r="AC50" t="s">
        <v>118</v>
      </c>
      <c r="AD50" t="s">
        <v>82</v>
      </c>
      <c r="AE50" t="s">
        <v>119</v>
      </c>
      <c r="AF50" t="s">
        <v>1204</v>
      </c>
      <c r="AG50" t="s">
        <v>935</v>
      </c>
      <c r="AH50" t="s">
        <v>936</v>
      </c>
      <c r="AI50" t="s">
        <v>1205</v>
      </c>
      <c r="AJ50" t="s">
        <v>1206</v>
      </c>
      <c r="AK50">
        <v>2</v>
      </c>
      <c r="AL50" t="s">
        <v>96</v>
      </c>
      <c r="AM50" t="s">
        <v>95</v>
      </c>
      <c r="AN50" t="s">
        <v>96</v>
      </c>
      <c r="AO50" t="s">
        <v>96</v>
      </c>
      <c r="AP50" t="s">
        <v>1207</v>
      </c>
      <c r="AQ50" t="s">
        <v>98</v>
      </c>
      <c r="AR50" t="s">
        <v>1208</v>
      </c>
      <c r="AS50" t="s">
        <v>1208</v>
      </c>
      <c r="AT50">
        <v>9</v>
      </c>
      <c r="AU50" t="s">
        <v>1209</v>
      </c>
      <c r="AV50">
        <v>3</v>
      </c>
      <c r="AW50" t="s">
        <v>1210</v>
      </c>
      <c r="AX50">
        <v>2</v>
      </c>
      <c r="AY50" t="s">
        <v>1211</v>
      </c>
      <c r="AZ50">
        <v>2</v>
      </c>
      <c r="BA50" t="s">
        <v>1212</v>
      </c>
      <c r="BB50">
        <v>2</v>
      </c>
      <c r="BD50">
        <v>0</v>
      </c>
      <c r="BF50">
        <v>0</v>
      </c>
      <c r="BG50">
        <v>2</v>
      </c>
      <c r="BH50" t="s">
        <v>1213</v>
      </c>
      <c r="BI50" t="s">
        <v>78</v>
      </c>
      <c r="BJ50" t="s">
        <v>1214</v>
      </c>
      <c r="BK50" t="s">
        <v>1198</v>
      </c>
      <c r="BL50" t="s">
        <v>84</v>
      </c>
      <c r="BM50" s="3" t="s">
        <v>1198</v>
      </c>
      <c r="BN50" s="4" t="s">
        <v>716</v>
      </c>
      <c r="BO50" s="1" t="b">
        <f t="shared" si="0"/>
        <v>1</v>
      </c>
      <c r="BP50" t="s">
        <v>1215</v>
      </c>
      <c r="BQ50" t="s">
        <v>1216</v>
      </c>
    </row>
    <row r="51" spans="1:69" ht="15.75" hidden="1" x14ac:dyDescent="0.25">
      <c r="A51" t="s">
        <v>1217</v>
      </c>
      <c r="B51" t="s">
        <v>1218</v>
      </c>
      <c r="C51">
        <v>2015</v>
      </c>
      <c r="D51" t="s">
        <v>109</v>
      </c>
      <c r="E51" t="s">
        <v>1219</v>
      </c>
      <c r="F51" t="s">
        <v>1219</v>
      </c>
      <c r="G51" t="s">
        <v>1220</v>
      </c>
      <c r="H51" t="s">
        <v>73</v>
      </c>
      <c r="I51">
        <v>1</v>
      </c>
      <c r="J51" t="s">
        <v>681</v>
      </c>
      <c r="K51" t="s">
        <v>681</v>
      </c>
      <c r="L51" t="s">
        <v>1221</v>
      </c>
      <c r="M51">
        <v>103</v>
      </c>
      <c r="N51" t="s">
        <v>440</v>
      </c>
      <c r="O51">
        <v>103</v>
      </c>
      <c r="P51" t="s">
        <v>1222</v>
      </c>
      <c r="Q51" t="s">
        <v>77</v>
      </c>
      <c r="R51" t="s">
        <v>78</v>
      </c>
      <c r="T51" t="s">
        <v>1223</v>
      </c>
      <c r="U51" t="s">
        <v>686</v>
      </c>
      <c r="V51" t="s">
        <v>371</v>
      </c>
      <c r="W51" t="s">
        <v>78</v>
      </c>
      <c r="X51" t="s">
        <v>78</v>
      </c>
      <c r="Y51" t="s">
        <v>82</v>
      </c>
      <c r="Z51" t="s">
        <v>1224</v>
      </c>
      <c r="AA51" t="s">
        <v>78</v>
      </c>
      <c r="AB51" t="s">
        <v>82</v>
      </c>
      <c r="AC51" t="s">
        <v>1225</v>
      </c>
      <c r="AD51" t="s">
        <v>1226</v>
      </c>
      <c r="AE51" t="s">
        <v>1227</v>
      </c>
      <c r="AF51" t="s">
        <v>1228</v>
      </c>
      <c r="AG51" t="s">
        <v>1229</v>
      </c>
      <c r="AH51" t="s">
        <v>1230</v>
      </c>
      <c r="AI51" t="s">
        <v>1231</v>
      </c>
      <c r="AJ51" t="s">
        <v>1232</v>
      </c>
      <c r="AK51">
        <v>4</v>
      </c>
      <c r="AL51" t="s">
        <v>1233</v>
      </c>
      <c r="AM51" t="s">
        <v>95</v>
      </c>
      <c r="AN51" t="s">
        <v>1234</v>
      </c>
      <c r="AO51" t="s">
        <v>1234</v>
      </c>
      <c r="AP51" t="s">
        <v>1235</v>
      </c>
      <c r="AQ51" t="s">
        <v>1236</v>
      </c>
      <c r="AR51" t="s">
        <v>1237</v>
      </c>
      <c r="AS51" t="s">
        <v>1237</v>
      </c>
      <c r="AT51">
        <v>38</v>
      </c>
      <c r="AV51">
        <v>0</v>
      </c>
      <c r="AW51" t="s">
        <v>1238</v>
      </c>
      <c r="AX51">
        <v>38</v>
      </c>
      <c r="AZ51">
        <v>0</v>
      </c>
      <c r="BB51">
        <v>0</v>
      </c>
      <c r="BD51">
        <v>0</v>
      </c>
      <c r="BF51">
        <v>0</v>
      </c>
      <c r="BG51">
        <v>0</v>
      </c>
      <c r="BH51" t="s">
        <v>1239</v>
      </c>
      <c r="BI51" t="s">
        <v>78</v>
      </c>
      <c r="BJ51" t="s">
        <v>1240</v>
      </c>
      <c r="BK51" t="s">
        <v>1217</v>
      </c>
      <c r="BL51" t="s">
        <v>78</v>
      </c>
      <c r="BM51" s="3" t="s">
        <v>1309</v>
      </c>
      <c r="BN51" s="1" t="s">
        <v>498</v>
      </c>
      <c r="BO51" s="1" t="b">
        <f t="shared" si="0"/>
        <v>1</v>
      </c>
      <c r="BP51" t="s">
        <v>1241</v>
      </c>
      <c r="BQ51" t="s">
        <v>1242</v>
      </c>
    </row>
    <row r="52" spans="1:69" ht="15.75" hidden="1" x14ac:dyDescent="0.25">
      <c r="A52" t="s">
        <v>1243</v>
      </c>
      <c r="B52" t="s">
        <v>1244</v>
      </c>
      <c r="C52">
        <v>2009</v>
      </c>
      <c r="D52" t="s">
        <v>436</v>
      </c>
      <c r="E52" t="s">
        <v>516</v>
      </c>
      <c r="F52" t="s">
        <v>516</v>
      </c>
      <c r="G52" t="s">
        <v>77</v>
      </c>
      <c r="H52" t="s">
        <v>77</v>
      </c>
      <c r="J52" t="s">
        <v>1245</v>
      </c>
      <c r="K52" t="s">
        <v>1245</v>
      </c>
      <c r="L52" t="s">
        <v>77</v>
      </c>
      <c r="P52" t="s">
        <v>1246</v>
      </c>
      <c r="Q52" t="s">
        <v>1247</v>
      </c>
      <c r="R52" t="s">
        <v>78</v>
      </c>
      <c r="T52" t="s">
        <v>1248</v>
      </c>
      <c r="U52" t="s">
        <v>658</v>
      </c>
      <c r="V52" t="s">
        <v>659</v>
      </c>
      <c r="W52" t="s">
        <v>84</v>
      </c>
      <c r="X52" t="s">
        <v>84</v>
      </c>
      <c r="Y52" t="s">
        <v>253</v>
      </c>
      <c r="Z52" t="s">
        <v>1249</v>
      </c>
      <c r="AA52" t="s">
        <v>84</v>
      </c>
      <c r="AB52" t="s">
        <v>145</v>
      </c>
      <c r="AC52" t="s">
        <v>1250</v>
      </c>
      <c r="AD52" t="s">
        <v>527</v>
      </c>
      <c r="AE52" t="s">
        <v>1251</v>
      </c>
      <c r="AF52" t="s">
        <v>663</v>
      </c>
      <c r="AG52" t="s">
        <v>529</v>
      </c>
      <c r="AH52" t="s">
        <v>1252</v>
      </c>
      <c r="AI52" t="s">
        <v>1253</v>
      </c>
      <c r="AJ52" t="s">
        <v>1254</v>
      </c>
      <c r="AK52">
        <v>5</v>
      </c>
      <c r="AL52" t="s">
        <v>210</v>
      </c>
      <c r="AM52" t="s">
        <v>95</v>
      </c>
      <c r="AN52" t="s">
        <v>210</v>
      </c>
      <c r="AO52" t="s">
        <v>210</v>
      </c>
      <c r="AP52" t="s">
        <v>667</v>
      </c>
      <c r="AQ52" t="s">
        <v>98</v>
      </c>
      <c r="AR52" t="s">
        <v>1255</v>
      </c>
      <c r="AS52" t="s">
        <v>1255</v>
      </c>
      <c r="AT52">
        <v>11</v>
      </c>
      <c r="AU52" t="s">
        <v>1256</v>
      </c>
      <c r="AV52">
        <v>3</v>
      </c>
      <c r="AW52" t="s">
        <v>1257</v>
      </c>
      <c r="AX52">
        <v>5</v>
      </c>
      <c r="AZ52">
        <v>0</v>
      </c>
      <c r="BA52" t="s">
        <v>1258</v>
      </c>
      <c r="BB52">
        <v>2</v>
      </c>
      <c r="BD52">
        <v>0</v>
      </c>
      <c r="BE52" t="s">
        <v>1259</v>
      </c>
      <c r="BF52">
        <v>1</v>
      </c>
      <c r="BG52">
        <v>2</v>
      </c>
      <c r="BH52" t="s">
        <v>715</v>
      </c>
      <c r="BI52" t="s">
        <v>84</v>
      </c>
      <c r="BJ52" t="s">
        <v>1260</v>
      </c>
      <c r="BK52" t="s">
        <v>1243</v>
      </c>
      <c r="BL52" t="s">
        <v>84</v>
      </c>
      <c r="BM52" s="3" t="s">
        <v>1310</v>
      </c>
      <c r="BN52" s="1" t="s">
        <v>716</v>
      </c>
      <c r="BO52" s="1" t="b">
        <f t="shared" si="0"/>
        <v>1</v>
      </c>
      <c r="BP52" t="s">
        <v>1261</v>
      </c>
      <c r="BQ52" t="s">
        <v>1262</v>
      </c>
    </row>
    <row r="53" spans="1:69" ht="15.75" x14ac:dyDescent="0.25">
      <c r="BO53" s="1"/>
    </row>
  </sheetData>
  <autoFilter ref="A1:BS52" xr:uid="{00000000-0001-0000-0000-000000000000}">
    <filterColumn colId="66">
      <filters>
        <filter val="FALSE"/>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kukumar</dc:creator>
  <cp:lastModifiedBy>Kuralarasan Kumar</cp:lastModifiedBy>
  <dcterms:created xsi:type="dcterms:W3CDTF">2026-01-13T21:54:13Z</dcterms:created>
  <dcterms:modified xsi:type="dcterms:W3CDTF">2026-01-14T11:14:51Z</dcterms:modified>
</cp:coreProperties>
</file>